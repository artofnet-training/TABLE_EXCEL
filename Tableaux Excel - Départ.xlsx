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EXCEL TABLE/"/>
    </mc:Choice>
  </mc:AlternateContent>
  <xr:revisionPtr revIDLastSave="43" documentId="8_{A6B883B3-1A47-4086-AC36-B312D56E4CDC}" xr6:coauthVersionLast="47" xr6:coauthVersionMax="47" xr10:uidLastSave="{D72BDE9A-26B0-4CB3-807F-A457469B2808}"/>
  <bookViews>
    <workbookView xWindow="-28920" yWindow="-120" windowWidth="29040" windowHeight="17520" firstSheet="4" activeTab="7" xr2:uid="{00000000-000D-0000-FFFF-FFFF00000000}"/>
  </bookViews>
  <sheets>
    <sheet name="Source" sheetId="1" r:id="rId1"/>
    <sheet name="Ex1 Plage-&gt;Tableau" sheetId="6" r:id="rId2"/>
    <sheet name="EX2 Formules" sheetId="2" r:id="rId3"/>
    <sheet name="EX3 Graphique" sheetId="5" r:id="rId4"/>
    <sheet name="Ex4 Segment" sheetId="3" r:id="rId5"/>
    <sheet name="Ex5 Liste déroulante" sheetId="8" r:id="rId6"/>
    <sheet name="Ex6 TCD" sheetId="9" r:id="rId7"/>
    <sheet name="Ex7 Filtre avancé" sheetId="10" r:id="rId8"/>
    <sheet name="Ex8 Fonctions filtre+tri" sheetId="11" r:id="rId9"/>
    <sheet name="Variables" sheetId="4" state="hidden" r:id="rId10"/>
  </sheets>
  <externalReferences>
    <externalReference r:id="rId11"/>
  </externalReferences>
  <definedNames>
    <definedName name="_xlnm._FilterDatabase" localSheetId="7" hidden="1">'Ex7 Filtre avancé'!$A$3:$I$80</definedName>
    <definedName name="_xlnm.Criteria" localSheetId="7">'Ex7 Filtre avancé'!$L$37:$M$39</definedName>
    <definedName name="_xlnm.Extract" localSheetId="7">'Ex7 Filtre avancé'!$L$41:$T$41</definedName>
    <definedName name="Liste_Cat" localSheetId="7">[1]!tbl_cat[CategoryID]</definedName>
    <definedName name="Liste_Cat" localSheetId="8">[1]!tbl_cat[CategoryID]</definedName>
    <definedName name="Liste_Cat">#REF!</definedName>
    <definedName name="tauxTVA" localSheetId="7">[1]Variables!$B$2</definedName>
    <definedName name="tauxTVA" localSheetId="8">[1]Variables!$B$2</definedName>
    <definedName name="tauxTVA">Variables!$B$2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5" l="1"/>
  <c r="E20" i="5"/>
  <c r="E19" i="5"/>
  <c r="F19" i="5" s="1"/>
  <c r="E18" i="5"/>
  <c r="F18" i="5" s="1"/>
  <c r="E17" i="5"/>
  <c r="F17" i="5" s="1"/>
  <c r="F16" i="5"/>
  <c r="E16" i="5"/>
  <c r="E15" i="5"/>
  <c r="F15" i="5" s="1"/>
  <c r="E14" i="5"/>
  <c r="F14" i="5" s="1"/>
  <c r="E13" i="5"/>
  <c r="F13" i="5" s="1"/>
  <c r="F12" i="5"/>
  <c r="E12" i="5"/>
  <c r="E11" i="5"/>
  <c r="F11" i="5" s="1"/>
  <c r="E10" i="5"/>
  <c r="F10" i="5" s="1"/>
  <c r="E9" i="5"/>
  <c r="F9" i="5" s="1"/>
  <c r="F8" i="5"/>
  <c r="E8" i="5"/>
  <c r="E7" i="5"/>
  <c r="F7" i="5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7" i="2"/>
  <c r="F7" i="2" s="1"/>
  <c r="K3" i="11"/>
  <c r="U13" i="11"/>
  <c r="K13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<sst xmlns="http://schemas.openxmlformats.org/spreadsheetml/2006/main" count="803" uniqueCount="208">
  <si>
    <t>ProductID</t>
  </si>
  <si>
    <t>Nom Produit</t>
  </si>
  <si>
    <t>FournisseurID</t>
  </si>
  <si>
    <t>CategoryID</t>
  </si>
  <si>
    <t>Packaging</t>
  </si>
  <si>
    <t>Prix Unit.</t>
  </si>
  <si>
    <t>Nb en stock</t>
  </si>
  <si>
    <t>Vente terminée</t>
  </si>
  <si>
    <t>1ère vente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</si>
  <si>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</si>
  <si>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</si>
  <si>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</si>
  <si>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</si>
  <si>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</si>
  <si>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</si>
  <si>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</si>
  <si>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</si>
  <si>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</si>
  <si>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</si>
  <si>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</si>
  <si>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</si>
  <si>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</si>
  <si>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</si>
  <si>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</si>
  <si>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</si>
  <si>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</si>
  <si>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</si>
  <si>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</si>
  <si>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</si>
  <si>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</si>
  <si>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</si>
  <si>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</si>
  <si>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</si>
  <si>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</si>
  <si>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</si>
  <si>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</si>
  <si>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</si>
  <si>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</si>
  <si>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</si>
  <si>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</si>
  <si>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</si>
  <si>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</si>
  <si>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</si>
  <si>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</si>
  <si>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</si>
  <si>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</si>
  <si>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</si>
  <si>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</si>
  <si>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</si>
  <si>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</si>
  <si>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</si>
  <si>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</si>
  <si>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</si>
  <si>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</si>
  <si>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</si>
  <si>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</si>
  <si>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</si>
  <si>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</si>
  <si>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</si>
  <si>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</si>
  <si>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</si>
  <si>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</si>
  <si>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</si>
  <si>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</si>
  <si>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</si>
  <si>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</si>
  <si>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</si>
  <si>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</si>
  <si>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</si>
  <si>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</si>
  <si>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</si>
  <si>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</si>
  <si>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</si>
  <si>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</si>
  <si>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</si>
  <si>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</si>
  <si>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</si>
  <si>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</si>
  <si>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</si>
  <si>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</si>
  <si>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</si>
  <si>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</si>
  <si>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</si>
  <si>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</si>
  <si>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</si>
  <si>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</si>
  <si>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</si>
  <si>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</si>
  <si>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</si>
  <si>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</si>
  <si>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</si>
  <si>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</si>
  <si>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</si>
  <si>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</si>
  <si>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</si>
  <si>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</si>
  <si>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</si>
  <si>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</si>
  <si>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</si>
  <si>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</si>
  <si>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</si>
  <si>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</si>
  <si>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</si>
  <si>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</si>
  <si>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</si>
  <si>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</si>
  <si>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</si>
  <si>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</si>
  <si>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</si>
  <si>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</si>
  <si>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</si>
  <si>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</si>
  <si>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</si>
  <si>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</si>
  <si>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</si>
  <si>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</si>
  <si>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</si>
  <si>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</si>
  <si>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</si>
  <si>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</si>
  <si>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</si>
  <si>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</si>
  <si>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</si>
  <si>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</si>
  <si>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</si>
  <si>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</si>
  <si>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</si>
  <si>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</si>
  <si>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</si>
  <si>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</si>
  <si>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</si>
  <si>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</si>
  <si>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</si>
  <si>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</si>
  <si>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</si>
  <si>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</si>
  <si>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</si>
  <si>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</si>
  <si>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</si>
  <si>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</si>
  <si>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</si>
  <si>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</si>
  <si>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</si>
  <si>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</si>
  <si>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</si>
  <si>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</si>
  <si>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</si>
  <si>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</si>
  <si>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</si>
  <si>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</si>
  <si>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</si>
  <si>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</si>
  <si>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</si>
  <si>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</si>
  <si>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</si>
  <si>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</si>
  <si>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Plage de cellules</t>
  </si>
  <si>
    <t>Tableau Excel</t>
  </si>
  <si>
    <t>Magasin</t>
  </si>
  <si>
    <t>jan</t>
  </si>
  <si>
    <t>feb</t>
  </si>
  <si>
    <t>mar</t>
  </si>
  <si>
    <t>TOTAL</t>
  </si>
  <si>
    <t>TOTAL TTC</t>
  </si>
  <si>
    <t>Magasin1</t>
  </si>
  <si>
    <t>Magasin2</t>
  </si>
  <si>
    <t>Magasin3</t>
  </si>
  <si>
    <t>Magasin4</t>
  </si>
  <si>
    <t>Magasin5</t>
  </si>
  <si>
    <t>Magasin6</t>
  </si>
  <si>
    <t>Magasin7</t>
  </si>
  <si>
    <t>Magasin8</t>
  </si>
  <si>
    <t>Magasin9</t>
  </si>
  <si>
    <t>Magasin10</t>
  </si>
  <si>
    <t>Magasin11</t>
  </si>
  <si>
    <t>Magasin12</t>
  </si>
  <si>
    <t>Magasin13</t>
  </si>
  <si>
    <t>Magasin14</t>
  </si>
  <si>
    <t>Nouvelles données</t>
  </si>
  <si>
    <t>Magasin24</t>
  </si>
  <si>
    <t>Magasin25</t>
  </si>
  <si>
    <t>Magasin26</t>
  </si>
  <si>
    <t>Magasin27</t>
  </si>
  <si>
    <t>Magasin28</t>
  </si>
  <si>
    <t>Magasin29</t>
  </si>
  <si>
    <t>Magasin30</t>
  </si>
  <si>
    <t>Taux TVA</t>
  </si>
  <si>
    <t>TOTAL GLOBAL</t>
  </si>
  <si>
    <t>TOTAL TTC GLOBAL</t>
  </si>
  <si>
    <t>Nombre de Magasin</t>
  </si>
  <si>
    <t>PLAGE</t>
  </si>
  <si>
    <t>TABLEAU</t>
  </si>
  <si>
    <t>Choisissez une catégorie (PLAGE)</t>
  </si>
  <si>
    <t>Choisissez une catégorie (TABLEAU)</t>
  </si>
  <si>
    <t>Boisson</t>
  </si>
  <si>
    <t>Epices</t>
  </si>
  <si>
    <t>Dessert</t>
  </si>
  <si>
    <t>Fromage</t>
  </si>
  <si>
    <t>Pâtes</t>
  </si>
  <si>
    <t>Charcuterie</t>
  </si>
  <si>
    <t>Exclusif</t>
  </si>
  <si>
    <t>Divers</t>
  </si>
  <si>
    <t>1/ Filtre ET</t>
  </si>
  <si>
    <t>2/ Filtre OU</t>
  </si>
  <si>
    <t>1/ Filtre ET + OU</t>
  </si>
  <si>
    <t>1/ Fonction FILTRE()</t>
  </si>
  <si>
    <t>2/ Fonction TRIER()</t>
  </si>
  <si>
    <t>3/ Fonctions Filtre + trier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</si>
</sst>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D3512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990099"/>
        <bgColor indexed="64"/>
      </patternFill>
    </fill>
    <fill>
      <patternFill patternType="solid">
        <fgColor rgb="FF990099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/>
      <right/>
      <top/>
      <bottom style="thick">
        <color theme="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/>
    <xf numFmtId="0" fontId="6" fillId="0" borderId="2" applyNumberFormat="0" applyFill="0" applyAlignment="0" applyProtection="0"/>
    <xf numFmtId="0" fontId="8" fillId="10" borderId="0" applyNumberFormat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4" borderId="0" xfId="0" applyFont="1" applyFill="1"/>
    <xf numFmtId="0" fontId="3" fillId="5" borderId="0" xfId="0" applyFont="1" applyFill="1"/>
    <xf numFmtId="10" fontId="0" fillId="0" borderId="0" xfId="0" applyNumberFormat="1"/>
    <xf numFmtId="2" fontId="2" fillId="0" borderId="0" xfId="0" applyNumberFormat="1" applyFont="1"/>
    <xf numFmtId="0" fontId="1" fillId="0" borderId="0" xfId="0" applyFont="1"/>
    <xf numFmtId="0" fontId="3" fillId="7" borderId="0" xfId="0" applyFont="1" applyFill="1"/>
    <xf numFmtId="2" fontId="0" fillId="0" borderId="0" xfId="0" applyNumberFormat="1"/>
    <xf numFmtId="0" fontId="4" fillId="6" borderId="0" xfId="0" applyFont="1" applyFill="1"/>
    <xf numFmtId="0" fontId="5" fillId="0" borderId="0" xfId="0" applyFont="1"/>
    <xf numFmtId="0" fontId="4" fillId="8" borderId="0" xfId="0" applyFont="1" applyFill="1"/>
    <xf numFmtId="0" fontId="4" fillId="9" borderId="0" xfId="0" applyFont="1" applyFill="1"/>
    <xf numFmtId="0" fontId="4" fillId="6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7" fillId="11" borderId="6" xfId="0" applyFont="1" applyFill="1" applyBorder="1"/>
    <xf numFmtId="0" fontId="7" fillId="11" borderId="7" xfId="0" applyFont="1" applyFill="1" applyBorder="1"/>
    <xf numFmtId="0" fontId="0" fillId="0" borderId="8" xfId="0" applyBorder="1"/>
    <xf numFmtId="0" fontId="0" fillId="0" borderId="9" xfId="0" applyBorder="1"/>
    <xf numFmtId="14" fontId="0" fillId="0" borderId="8" xfId="0" applyNumberFormat="1" applyBorder="1"/>
    <xf numFmtId="0" fontId="0" fillId="0" borderId="10" xfId="0" applyBorder="1"/>
    <xf numFmtId="0" fontId="0" fillId="0" borderId="11" xfId="0" applyBorder="1"/>
    <xf numFmtId="14" fontId="0" fillId="0" borderId="12" xfId="0" applyNumberFormat="1" applyBorder="1"/>
    <xf numFmtId="0" fontId="9" fillId="10" borderId="0" xfId="2" applyFont="1"/>
    <xf numFmtId="0" fontId="6" fillId="0" borderId="2" xfId="1"/>
    <xf numFmtId="14" fontId="6" fillId="0" borderId="2" xfId="1" applyNumberFormat="1"/>
    <xf numFmtId="0" fontId="10" fillId="10" borderId="0" xfId="2" applyFont="1"/>
  </cellXfs>
  <cellStyles count="3">
    <cellStyle name="Accent1" xfId="2" builtinId="29"/>
    <cellStyle name="Normal" xfId="0" builtinId="0"/>
    <cellStyle name="Titre 1" xfId="1" builtinId="16"/>
  </cellStyles>
  <dxfs count="4">
    <dxf>
      <numFmt numFmtId="19" formatCode="dd/mm/yyyy"/>
    </dxf>
    <dxf>
      <numFmt numFmtId="19" formatCode="dd/mm/yyyy"/>
    </dxf>
    <dxf>
      <font>
        <color theme="0"/>
      </font>
      <fill>
        <patternFill>
          <bgColor rgb="FFCC0099"/>
        </patternFill>
      </fill>
    </dxf>
    <dxf>
      <font>
        <color theme="0"/>
      </font>
      <fill>
        <patternFill>
          <bgColor rgb="FF990099"/>
        </patternFill>
      </fill>
    </dxf>
  </dxfs>
  <tableStyles count="1" defaultTableStyle="TableStyleMedium2" defaultPivotStyle="PivotStyleMedium9">
    <tableStyle name="Style de tableau 1" pivot="0" count="2" xr9:uid="{FDDEDD25-1D97-416C-BF39-2E175E260212}">
      <tableStyleElement type="headerRow" dxfId="3"/>
      <tableStyleElement type="secondRowStripe" dxfId="2"/>
    </tableStyle>
  </tableStyles>
  <colors>
    <mruColors>
      <color rgb="FFFF00FF"/>
      <color rgb="FF990099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6748B7A-76DF-4C06-8CFE-353497D46324}"/>
            </a:ext>
          </a:extLst>
        </xdr:cNvPr>
        <xdr:cNvSpPr/>
      </xdr:nvSpPr>
      <xdr:spPr>
        <a:xfrm>
          <a:off x="740635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Insérer des formules</a:t>
          </a:r>
          <a:r>
            <a:rPr lang="fr-FR" sz="2400" b="0" i="1" cap="none" spc="0" baseline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dans </a:t>
          </a:r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un tableau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9BF452-F9A5-4AF9-BA34-1D6A569B16BF}"/>
            </a:ext>
          </a:extLst>
        </xdr:cNvPr>
        <xdr:cNvSpPr/>
      </xdr:nvSpPr>
      <xdr:spPr>
        <a:xfrm>
          <a:off x="844466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Insérer un graphique depuis une table / un tableau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794935</xdr:colOff>
      <xdr:row>0</xdr:row>
      <xdr:rowOff>8660</xdr:rowOff>
    </xdr:from>
    <xdr:ext cx="7078767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4B1B18C-C207-4F26-B1C5-3B31EE0C9260}"/>
            </a:ext>
          </a:extLst>
        </xdr:cNvPr>
        <xdr:cNvSpPr/>
      </xdr:nvSpPr>
      <xdr:spPr>
        <a:xfrm>
          <a:off x="1574253" y="8660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Utilisation des segments (slicers)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</xdr:colOff>
      <xdr:row>4</xdr:row>
      <xdr:rowOff>140970</xdr:rowOff>
    </xdr:from>
    <xdr:to>
      <xdr:col>5</xdr:col>
      <xdr:colOff>74845</xdr:colOff>
      <xdr:row>21</xdr:row>
      <xdr:rowOff>168071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7923741-CAAF-C7DB-8056-FA8BEEED4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4980" y="702945"/>
          <a:ext cx="3949615" cy="309605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9525</xdr:colOff>
      <xdr:row>5</xdr:row>
      <xdr:rowOff>0</xdr:rowOff>
    </xdr:from>
    <xdr:to>
      <xdr:col>8</xdr:col>
      <xdr:colOff>779687</xdr:colOff>
      <xdr:row>21</xdr:row>
      <xdr:rowOff>168068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7C63629-DB2E-0D0B-AE49-613657FC0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50" y="742950"/>
          <a:ext cx="3884837" cy="306747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9</xdr:col>
      <xdr:colOff>230505</xdr:colOff>
      <xdr:row>4</xdr:row>
      <xdr:rowOff>163830</xdr:rowOff>
    </xdr:from>
    <xdr:to>
      <xdr:col>12</xdr:col>
      <xdr:colOff>705244</xdr:colOff>
      <xdr:row>16</xdr:row>
      <xdr:rowOff>93640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DF79CD4-B55F-DAF6-8D18-B298924BC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84180" y="754380"/>
          <a:ext cx="2836939" cy="211484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28575</xdr:colOff>
      <xdr:row>27</xdr:row>
      <xdr:rowOff>0</xdr:rowOff>
    </xdr:from>
    <xdr:to>
      <xdr:col>4</xdr:col>
      <xdr:colOff>284312</xdr:colOff>
      <xdr:row>38</xdr:row>
      <xdr:rowOff>112689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2D4EA2E-DF7F-B4D4-7122-BEA75A99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1650" y="4981575"/>
          <a:ext cx="3345647" cy="21034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B3D442-4414-4524-BBF6-B47C0F8BE661}"/>
            </a:ext>
          </a:extLst>
        </xdr:cNvPr>
        <xdr:cNvSpPr/>
      </xdr:nvSpPr>
      <xdr:spPr>
        <a:xfrm>
          <a:off x="785411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Filtres avancés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C256DF-D74F-409F-8EFB-A436286CA68D}"/>
            </a:ext>
          </a:extLst>
        </xdr:cNvPr>
        <xdr:cNvSpPr/>
      </xdr:nvSpPr>
      <xdr:spPr>
        <a:xfrm>
          <a:off x="737786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Fonctions Filtre</a:t>
          </a:r>
          <a:r>
            <a:rPr lang="fr-FR" sz="2400" b="0" i="1" cap="none" spc="0" baseline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() et Trier()</a:t>
          </a:r>
          <a:endParaRPr lang="fr-FR" sz="2400" b="0" i="1" cap="none" spc="0">
            <a:ln w="0"/>
            <a:solidFill>
              <a:schemeClr val="bg1"/>
            </a:solidFill>
            <a:effectLst>
              <a:glow rad="101600">
                <a:schemeClr val="accent6">
                  <a:satMod val="175000"/>
                  <a:alpha val="40000"/>
                </a:schemeClr>
              </a:glow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moreau.sharepoint.com/sites/FORMATIONS2/EXCEL/EXCEL%20MODULES/EXCEL%20TABLE/Tableaux%20Excel%20-%20Corrig&#233;.xlsx" TargetMode="External"/><Relationship Id="rId1" Type="http://schemas.openxmlformats.org/officeDocument/2006/relationships/externalLinkPath" Target="Tableaux%20Excel%20-%20Corrig&#2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"/>
      <sheetName val="Ex1 Plage-&gt;Tableau"/>
      <sheetName val="EX2 Formules"/>
      <sheetName val="EX3 Graphique"/>
      <sheetName val="Ex4 Segment"/>
      <sheetName val="Ex5 Liste déroulante"/>
      <sheetName val="Ex6 TCD"/>
      <sheetName val="Ex7 Filtre avancé"/>
      <sheetName val="Ex8 Fonctions filtre+tri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8.1000000000000003E-2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F8B92A-7A88-4A16-ABC4-DE8E73F2424F}" name="tbl_source4" displayName="tbl_source4" ref="A3:I80" totalsRowShown="0">
  <tableColumns count="9">
    <tableColumn id="1" xr3:uid="{9B2414AD-4511-46B3-BBC2-3BCDC2CC40F0}" name="ProductID"/>
    <tableColumn id="2" xr3:uid="{079A4DFD-FC93-4A4C-8BAF-6174F29A798C}" name="Nom Produit"/>
    <tableColumn id="3" xr3:uid="{749FB4F3-E992-434C-9165-3A570CD2AA82}" name="FournisseurID"/>
    <tableColumn id="4" xr3:uid="{6271685D-2933-4568-9BAA-8A53DA06D9F4}" name="CategoryID"/>
    <tableColumn id="5" xr3:uid="{9945CA29-1248-494B-BFA7-ACBA7E8BDF8F}" name="Packaging"/>
    <tableColumn id="6" xr3:uid="{AA18AA08-96C3-40C0-9BFD-B529298983A0}" name="Prix Unit."/>
    <tableColumn id="7" xr3:uid="{FACB4815-00D3-4255-8D54-D3708761FFBE}" name="Nb en stock"/>
    <tableColumn id="8" xr3:uid="{DB98218E-2386-427D-AA7B-D0ADBE747FE1}" name="Vente terminée"/>
    <tableColumn id="9" xr3:uid="{73EC29FE-7717-4AAC-887F-4821B771561F}" name="1ère ven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85333F-8876-4EC9-BF4E-A9925C48AA73}" name="tbl_ex8" displayName="tbl_ex8" ref="A3:I80" totalsRowShown="0">
  <tableColumns count="9">
    <tableColumn id="1" xr3:uid="{5660EF3A-5EE1-4333-9F03-3FC9CF237D5B}" name="ProductID"/>
    <tableColumn id="2" xr3:uid="{D3DCA1CF-BD1C-4CD7-94E2-266F08C63EDF}" name="Nom Produit"/>
    <tableColumn id="3" xr3:uid="{605DE17D-E3A5-411A-88F4-1D13D21C6E5D}" name="FournisseurID"/>
    <tableColumn id="4" xr3:uid="{3D05D4C1-73A0-4A70-B22A-69239D03816B}" name="CategoryID"/>
    <tableColumn id="5" xr3:uid="{B85F4D2D-FC8D-40DF-A27A-891CC252927A}" name="Packaging"/>
    <tableColumn id="6" xr3:uid="{9C407B82-CDD5-4EDD-8A42-FE201F0E7728}" name="Prix Unit."/>
    <tableColumn id="7" xr3:uid="{BBFD0629-4C4B-4DCF-A331-8E66A9B1EE94}" name="Nb en stock"/>
    <tableColumn id="8" xr3:uid="{A4C5CD8F-EA17-486E-8FE1-174F1EFF7743}" name="Vente terminée"/>
    <tableColumn id="9" xr3:uid="{FFE6EDD7-3FAE-45DD-8E35-F6EFC5FA9086}" name="1ère v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workbookViewId="0">
      <selection activeCell="B17" sqref="A1:I78"/>
    </sheetView>
  </sheetViews>
  <sheetFormatPr baseColWidth="10" defaultColWidth="8.85546875" defaultRowHeight="15" x14ac:dyDescent="0.25"/>
  <cols>
    <col min="1" max="1" width="9.85546875" bestFit="1" customWidth="1"/>
    <col min="2" max="2" width="31.85546875" bestFit="1" customWidth="1"/>
    <col min="3" max="3" width="10.140625" bestFit="1" customWidth="1"/>
    <col min="4" max="4" width="10.85546875" bestFit="1" customWidth="1"/>
    <col min="5" max="5" width="19.28515625" bestFit="1" customWidth="1"/>
    <col min="7" max="7" width="12" bestFit="1" customWidth="1"/>
    <col min="8" max="8" width="12.5703125" bestFit="1" customWidth="1"/>
    <col min="9" max="9" width="11.42578125" style="1" bestFit="1" customWidth="1"/>
    <col min="11" max="11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1</v>
      </c>
      <c r="D2" t="s">
        <v>194</v>
      </c>
      <c r="E2" t="s">
        <v>10</v>
      </c>
      <c r="F2">
        <v>18</v>
      </c>
      <c r="G2">
        <v>39</v>
      </c>
      <c r="H2" t="b">
        <v>0</v>
      </c>
      <c r="I2" s="1">
        <v>45953</v>
      </c>
    </row>
    <row r="3" spans="1:9" x14ac:dyDescent="0.25">
      <c r="A3">
        <v>2</v>
      </c>
      <c r="B3" t="s">
        <v>11</v>
      </c>
      <c r="C3">
        <v>1</v>
      </c>
      <c r="D3" t="s">
        <v>194</v>
      </c>
      <c r="E3" t="s">
        <v>12</v>
      </c>
      <c r="F3">
        <v>19</v>
      </c>
      <c r="G3">
        <v>17</v>
      </c>
      <c r="H3" t="b">
        <v>0</v>
      </c>
      <c r="I3" s="1">
        <v>46007</v>
      </c>
    </row>
    <row r="4" spans="1:9" x14ac:dyDescent="0.25">
      <c r="A4">
        <v>3</v>
      </c>
      <c r="B4" t="s">
        <v>13</v>
      </c>
      <c r="C4">
        <v>1</v>
      </c>
      <c r="D4" t="s">
        <v>195</v>
      </c>
      <c r="E4" t="s">
        <v>14</v>
      </c>
      <c r="F4">
        <v>10</v>
      </c>
      <c r="G4">
        <v>13</v>
      </c>
      <c r="H4" t="b">
        <v>0</v>
      </c>
      <c r="I4" s="1">
        <v>45752</v>
      </c>
    </row>
    <row r="5" spans="1:9" x14ac:dyDescent="0.25">
      <c r="A5">
        <v>4</v>
      </c>
      <c r="B5" t="s">
        <v>15</v>
      </c>
      <c r="C5">
        <v>2</v>
      </c>
      <c r="D5" t="s">
        <v>195</v>
      </c>
      <c r="E5" t="s">
        <v>16</v>
      </c>
      <c r="F5">
        <v>22</v>
      </c>
      <c r="G5">
        <v>53</v>
      </c>
      <c r="H5" t="b">
        <v>0</v>
      </c>
      <c r="I5" s="1">
        <v>45659</v>
      </c>
    </row>
    <row r="6" spans="1:9" x14ac:dyDescent="0.25">
      <c r="A6">
        <v>5</v>
      </c>
      <c r="B6" t="s">
        <v>17</v>
      </c>
      <c r="C6">
        <v>2</v>
      </c>
      <c r="D6" t="s">
        <v>195</v>
      </c>
      <c r="E6" t="s">
        <v>18</v>
      </c>
      <c r="F6">
        <v>21.35</v>
      </c>
      <c r="G6">
        <v>0</v>
      </c>
      <c r="H6" t="b">
        <v>1</v>
      </c>
      <c r="I6" s="1">
        <v>46002</v>
      </c>
    </row>
    <row r="7" spans="1:9" x14ac:dyDescent="0.25">
      <c r="A7">
        <v>6</v>
      </c>
      <c r="B7" t="s">
        <v>19</v>
      </c>
      <c r="C7">
        <v>3</v>
      </c>
      <c r="D7" t="s">
        <v>195</v>
      </c>
      <c r="E7" t="s">
        <v>20</v>
      </c>
      <c r="F7">
        <v>25</v>
      </c>
      <c r="G7">
        <v>120</v>
      </c>
      <c r="H7" t="b">
        <v>0</v>
      </c>
      <c r="I7" s="1">
        <v>45869</v>
      </c>
    </row>
    <row r="8" spans="1:9" x14ac:dyDescent="0.25">
      <c r="A8">
        <v>7</v>
      </c>
      <c r="B8" t="s">
        <v>21</v>
      </c>
      <c r="C8">
        <v>3</v>
      </c>
      <c r="D8" t="s">
        <v>201</v>
      </c>
      <c r="E8" t="s">
        <v>22</v>
      </c>
      <c r="F8">
        <v>30</v>
      </c>
      <c r="G8">
        <v>15</v>
      </c>
      <c r="H8" t="b">
        <v>0</v>
      </c>
      <c r="I8" s="1">
        <v>45995</v>
      </c>
    </row>
    <row r="9" spans="1:9" x14ac:dyDescent="0.25">
      <c r="A9">
        <v>8</v>
      </c>
      <c r="B9" t="s">
        <v>23</v>
      </c>
      <c r="C9">
        <v>3</v>
      </c>
      <c r="D9" t="s">
        <v>195</v>
      </c>
      <c r="E9" t="s">
        <v>24</v>
      </c>
      <c r="F9">
        <v>40</v>
      </c>
      <c r="G9">
        <v>6</v>
      </c>
      <c r="H9" t="b">
        <v>0</v>
      </c>
      <c r="I9" s="1">
        <v>45857</v>
      </c>
    </row>
    <row r="10" spans="1:9" x14ac:dyDescent="0.25">
      <c r="A10">
        <v>9</v>
      </c>
      <c r="B10" t="s">
        <v>25</v>
      </c>
      <c r="C10">
        <v>4</v>
      </c>
      <c r="D10" t="s">
        <v>199</v>
      </c>
      <c r="E10" t="s">
        <v>26</v>
      </c>
      <c r="F10">
        <v>97</v>
      </c>
      <c r="G10">
        <v>29</v>
      </c>
      <c r="H10" t="b">
        <v>1</v>
      </c>
      <c r="I10" s="1">
        <v>45663</v>
      </c>
    </row>
    <row r="11" spans="1:9" x14ac:dyDescent="0.25">
      <c r="A11">
        <v>10</v>
      </c>
      <c r="B11" t="s">
        <v>27</v>
      </c>
      <c r="C11">
        <v>4</v>
      </c>
      <c r="D11" t="s">
        <v>200</v>
      </c>
      <c r="E11" t="s">
        <v>28</v>
      </c>
      <c r="F11">
        <v>31</v>
      </c>
      <c r="G11">
        <v>31</v>
      </c>
      <c r="H11" t="b">
        <v>0</v>
      </c>
      <c r="I11" s="1">
        <v>45757</v>
      </c>
    </row>
    <row r="12" spans="1:9" x14ac:dyDescent="0.25">
      <c r="A12">
        <v>11</v>
      </c>
      <c r="B12" t="s">
        <v>29</v>
      </c>
      <c r="C12">
        <v>5</v>
      </c>
      <c r="D12" t="s">
        <v>197</v>
      </c>
      <c r="E12" t="s">
        <v>30</v>
      </c>
      <c r="F12">
        <v>21</v>
      </c>
      <c r="G12">
        <v>22</v>
      </c>
      <c r="H12" t="b">
        <v>0</v>
      </c>
      <c r="I12" s="1">
        <v>45976</v>
      </c>
    </row>
    <row r="13" spans="1:9" x14ac:dyDescent="0.25">
      <c r="A13">
        <v>12</v>
      </c>
      <c r="B13" t="s">
        <v>31</v>
      </c>
      <c r="C13">
        <v>5</v>
      </c>
      <c r="D13" t="s">
        <v>197</v>
      </c>
      <c r="E13" t="s">
        <v>32</v>
      </c>
      <c r="F13">
        <v>38</v>
      </c>
      <c r="G13">
        <v>86</v>
      </c>
      <c r="H13" t="b">
        <v>0</v>
      </c>
      <c r="I13" s="1">
        <v>45894</v>
      </c>
    </row>
    <row r="14" spans="1:9" x14ac:dyDescent="0.25">
      <c r="A14">
        <v>13</v>
      </c>
      <c r="B14" t="s">
        <v>33</v>
      </c>
      <c r="C14">
        <v>6</v>
      </c>
      <c r="D14" t="s">
        <v>200</v>
      </c>
      <c r="E14" t="s">
        <v>34</v>
      </c>
      <c r="F14">
        <v>6</v>
      </c>
      <c r="G14">
        <v>24</v>
      </c>
      <c r="H14" t="b">
        <v>0</v>
      </c>
      <c r="I14" s="1">
        <v>45936</v>
      </c>
    </row>
    <row r="15" spans="1:9" x14ac:dyDescent="0.25">
      <c r="A15">
        <v>14</v>
      </c>
      <c r="B15" t="s">
        <v>35</v>
      </c>
      <c r="C15">
        <v>6</v>
      </c>
      <c r="D15" t="s">
        <v>201</v>
      </c>
      <c r="E15" t="s">
        <v>36</v>
      </c>
      <c r="F15">
        <v>23.25</v>
      </c>
      <c r="G15">
        <v>35</v>
      </c>
      <c r="H15" t="b">
        <v>0</v>
      </c>
      <c r="I15" s="1">
        <v>45994</v>
      </c>
    </row>
    <row r="16" spans="1:9" x14ac:dyDescent="0.25">
      <c r="A16">
        <v>15</v>
      </c>
      <c r="B16" t="s">
        <v>37</v>
      </c>
      <c r="C16">
        <v>6</v>
      </c>
      <c r="D16" t="s">
        <v>195</v>
      </c>
      <c r="E16" t="s">
        <v>38</v>
      </c>
      <c r="F16">
        <v>15.5</v>
      </c>
      <c r="G16">
        <v>39</v>
      </c>
      <c r="H16" t="b">
        <v>0</v>
      </c>
      <c r="I16" s="1">
        <v>45910</v>
      </c>
    </row>
    <row r="17" spans="1:9" x14ac:dyDescent="0.25">
      <c r="A17">
        <v>16</v>
      </c>
      <c r="B17" t="s">
        <v>39</v>
      </c>
      <c r="C17">
        <v>7</v>
      </c>
      <c r="D17" t="s">
        <v>196</v>
      </c>
      <c r="E17" t="s">
        <v>40</v>
      </c>
      <c r="F17">
        <v>17.45</v>
      </c>
      <c r="G17">
        <v>29</v>
      </c>
      <c r="H17" t="b">
        <v>0</v>
      </c>
      <c r="I17" s="1">
        <v>45722</v>
      </c>
    </row>
    <row r="18" spans="1:9" x14ac:dyDescent="0.25">
      <c r="A18">
        <v>17</v>
      </c>
      <c r="B18" t="s">
        <v>41</v>
      </c>
      <c r="C18">
        <v>7</v>
      </c>
      <c r="D18" t="s">
        <v>199</v>
      </c>
      <c r="E18" t="s">
        <v>42</v>
      </c>
      <c r="F18">
        <v>39</v>
      </c>
      <c r="G18">
        <v>0</v>
      </c>
      <c r="H18" t="b">
        <v>1</v>
      </c>
      <c r="I18" s="1">
        <v>45884</v>
      </c>
    </row>
    <row r="19" spans="1:9" x14ac:dyDescent="0.25">
      <c r="A19">
        <v>18</v>
      </c>
      <c r="B19" t="s">
        <v>43</v>
      </c>
      <c r="C19">
        <v>7</v>
      </c>
      <c r="D19" t="s">
        <v>200</v>
      </c>
      <c r="E19" t="s">
        <v>44</v>
      </c>
      <c r="F19">
        <v>62.5</v>
      </c>
      <c r="G19">
        <v>42</v>
      </c>
      <c r="H19" t="b">
        <v>0</v>
      </c>
      <c r="I19" s="1">
        <v>45679</v>
      </c>
    </row>
    <row r="20" spans="1:9" x14ac:dyDescent="0.25">
      <c r="A20">
        <v>19</v>
      </c>
      <c r="B20" t="s">
        <v>45</v>
      </c>
      <c r="C20">
        <v>8</v>
      </c>
      <c r="D20" t="s">
        <v>196</v>
      </c>
      <c r="E20" t="s">
        <v>46</v>
      </c>
      <c r="F20">
        <v>9.1999999999999993</v>
      </c>
      <c r="G20">
        <v>25</v>
      </c>
      <c r="H20" t="b">
        <v>0</v>
      </c>
      <c r="I20" s="1">
        <v>45739</v>
      </c>
    </row>
    <row r="21" spans="1:9" x14ac:dyDescent="0.25">
      <c r="A21">
        <v>20</v>
      </c>
      <c r="B21" t="s">
        <v>47</v>
      </c>
      <c r="C21">
        <v>8</v>
      </c>
      <c r="D21" t="s">
        <v>196</v>
      </c>
      <c r="E21" t="s">
        <v>48</v>
      </c>
      <c r="F21">
        <v>81</v>
      </c>
      <c r="G21">
        <v>40</v>
      </c>
      <c r="H21" t="b">
        <v>0</v>
      </c>
      <c r="I21" s="1">
        <v>45914</v>
      </c>
    </row>
    <row r="22" spans="1:9" x14ac:dyDescent="0.25">
      <c r="A22">
        <v>21</v>
      </c>
      <c r="B22" t="s">
        <v>49</v>
      </c>
      <c r="C22">
        <v>8</v>
      </c>
      <c r="D22" t="s">
        <v>196</v>
      </c>
      <c r="E22" t="s">
        <v>50</v>
      </c>
      <c r="F22">
        <v>10</v>
      </c>
      <c r="G22">
        <v>3</v>
      </c>
      <c r="H22" t="b">
        <v>0</v>
      </c>
      <c r="I22" s="1">
        <v>45844</v>
      </c>
    </row>
    <row r="23" spans="1:9" x14ac:dyDescent="0.25">
      <c r="A23">
        <v>22</v>
      </c>
      <c r="B23" t="s">
        <v>51</v>
      </c>
      <c r="C23">
        <v>9</v>
      </c>
      <c r="D23" t="s">
        <v>198</v>
      </c>
      <c r="E23" t="s">
        <v>52</v>
      </c>
      <c r="F23">
        <v>21</v>
      </c>
      <c r="G23">
        <v>104</v>
      </c>
      <c r="H23" t="b">
        <v>0</v>
      </c>
      <c r="I23" s="1">
        <v>45724</v>
      </c>
    </row>
    <row r="24" spans="1:9" x14ac:dyDescent="0.25">
      <c r="A24">
        <v>23</v>
      </c>
      <c r="B24" t="s">
        <v>53</v>
      </c>
      <c r="C24">
        <v>9</v>
      </c>
      <c r="D24" t="s">
        <v>198</v>
      </c>
      <c r="E24" t="s">
        <v>54</v>
      </c>
      <c r="F24">
        <v>9</v>
      </c>
      <c r="G24">
        <v>61</v>
      </c>
      <c r="H24" t="b">
        <v>0</v>
      </c>
      <c r="I24" s="1">
        <v>46011</v>
      </c>
    </row>
    <row r="25" spans="1:9" x14ac:dyDescent="0.25">
      <c r="A25">
        <v>24</v>
      </c>
      <c r="B25" t="s">
        <v>55</v>
      </c>
      <c r="C25">
        <v>10</v>
      </c>
      <c r="D25" t="s">
        <v>194</v>
      </c>
      <c r="E25" t="s">
        <v>56</v>
      </c>
      <c r="F25">
        <v>4.5</v>
      </c>
      <c r="G25">
        <v>20</v>
      </c>
      <c r="H25" t="b">
        <v>1</v>
      </c>
      <c r="I25" s="1">
        <v>46018</v>
      </c>
    </row>
    <row r="26" spans="1:9" x14ac:dyDescent="0.25">
      <c r="A26">
        <v>25</v>
      </c>
      <c r="B26" t="s">
        <v>57</v>
      </c>
      <c r="C26">
        <v>11</v>
      </c>
      <c r="D26" t="s">
        <v>196</v>
      </c>
      <c r="E26" t="s">
        <v>58</v>
      </c>
      <c r="F26">
        <v>14</v>
      </c>
      <c r="G26">
        <v>76</v>
      </c>
      <c r="H26" t="b">
        <v>0</v>
      </c>
      <c r="I26" s="1">
        <v>45692</v>
      </c>
    </row>
    <row r="27" spans="1:9" x14ac:dyDescent="0.25">
      <c r="A27">
        <v>26</v>
      </c>
      <c r="B27" t="s">
        <v>59</v>
      </c>
      <c r="C27">
        <v>11</v>
      </c>
      <c r="D27" t="s">
        <v>196</v>
      </c>
      <c r="E27" t="s">
        <v>60</v>
      </c>
      <c r="F27">
        <v>31.23</v>
      </c>
      <c r="G27">
        <v>15</v>
      </c>
      <c r="H27" t="b">
        <v>0</v>
      </c>
      <c r="I27" s="1">
        <v>45911</v>
      </c>
    </row>
    <row r="28" spans="1:9" x14ac:dyDescent="0.25">
      <c r="A28">
        <v>27</v>
      </c>
      <c r="B28" t="s">
        <v>61</v>
      </c>
      <c r="C28">
        <v>11</v>
      </c>
      <c r="D28" t="s">
        <v>196</v>
      </c>
      <c r="E28" t="s">
        <v>62</v>
      </c>
      <c r="F28">
        <v>43.9</v>
      </c>
      <c r="G28">
        <v>49</v>
      </c>
      <c r="H28" t="b">
        <v>0</v>
      </c>
      <c r="I28" s="1">
        <v>45784</v>
      </c>
    </row>
    <row r="29" spans="1:9" x14ac:dyDescent="0.25">
      <c r="A29">
        <v>28</v>
      </c>
      <c r="B29" t="s">
        <v>63</v>
      </c>
      <c r="C29">
        <v>12</v>
      </c>
      <c r="D29" t="s">
        <v>201</v>
      </c>
      <c r="E29" t="s">
        <v>64</v>
      </c>
      <c r="F29">
        <v>45.6</v>
      </c>
      <c r="G29">
        <v>26</v>
      </c>
      <c r="H29" t="b">
        <v>1</v>
      </c>
      <c r="I29" s="1">
        <v>45731</v>
      </c>
    </row>
    <row r="30" spans="1:9" x14ac:dyDescent="0.25">
      <c r="A30">
        <v>29</v>
      </c>
      <c r="B30" t="s">
        <v>65</v>
      </c>
      <c r="C30">
        <v>12</v>
      </c>
      <c r="D30" t="s">
        <v>199</v>
      </c>
      <c r="E30" t="s">
        <v>66</v>
      </c>
      <c r="F30">
        <v>123.79</v>
      </c>
      <c r="G30">
        <v>0</v>
      </c>
      <c r="H30" t="b">
        <v>1</v>
      </c>
      <c r="I30" s="1">
        <v>45943</v>
      </c>
    </row>
    <row r="31" spans="1:9" x14ac:dyDescent="0.25">
      <c r="A31">
        <v>30</v>
      </c>
      <c r="B31" t="s">
        <v>67</v>
      </c>
      <c r="C31">
        <v>13</v>
      </c>
      <c r="D31" t="s">
        <v>200</v>
      </c>
      <c r="E31" t="s">
        <v>68</v>
      </c>
      <c r="F31">
        <v>25.89</v>
      </c>
      <c r="G31">
        <v>10</v>
      </c>
      <c r="H31" t="b">
        <v>0</v>
      </c>
      <c r="I31" s="1">
        <v>45723</v>
      </c>
    </row>
    <row r="32" spans="1:9" x14ac:dyDescent="0.25">
      <c r="A32">
        <v>31</v>
      </c>
      <c r="B32" t="s">
        <v>69</v>
      </c>
      <c r="C32">
        <v>14</v>
      </c>
      <c r="D32" t="s">
        <v>197</v>
      </c>
      <c r="E32" t="s">
        <v>70</v>
      </c>
      <c r="F32">
        <v>12.5</v>
      </c>
      <c r="G32">
        <v>0</v>
      </c>
      <c r="H32" t="b">
        <v>0</v>
      </c>
      <c r="I32" s="1">
        <v>45791</v>
      </c>
    </row>
    <row r="33" spans="1:9" x14ac:dyDescent="0.25">
      <c r="A33">
        <v>32</v>
      </c>
      <c r="B33" t="s">
        <v>71</v>
      </c>
      <c r="C33">
        <v>14</v>
      </c>
      <c r="D33" t="s">
        <v>197</v>
      </c>
      <c r="E33" t="s">
        <v>72</v>
      </c>
      <c r="F33">
        <v>32</v>
      </c>
      <c r="G33">
        <v>9</v>
      </c>
      <c r="H33" t="b">
        <v>0</v>
      </c>
      <c r="I33" s="1">
        <v>46011</v>
      </c>
    </row>
    <row r="34" spans="1:9" x14ac:dyDescent="0.25">
      <c r="A34">
        <v>33</v>
      </c>
      <c r="B34" t="s">
        <v>73</v>
      </c>
      <c r="C34">
        <v>15</v>
      </c>
      <c r="D34" t="s">
        <v>197</v>
      </c>
      <c r="E34" t="s">
        <v>74</v>
      </c>
      <c r="F34">
        <v>2.5</v>
      </c>
      <c r="G34">
        <v>112</v>
      </c>
      <c r="H34" t="b">
        <v>0</v>
      </c>
      <c r="I34" s="1">
        <v>45804</v>
      </c>
    </row>
    <row r="35" spans="1:9" x14ac:dyDescent="0.25">
      <c r="A35">
        <v>34</v>
      </c>
      <c r="B35" t="s">
        <v>75</v>
      </c>
      <c r="C35">
        <v>16</v>
      </c>
      <c r="D35" t="s">
        <v>194</v>
      </c>
      <c r="E35" t="s">
        <v>12</v>
      </c>
      <c r="F35">
        <v>14</v>
      </c>
      <c r="G35">
        <v>111</v>
      </c>
      <c r="H35" t="b">
        <v>0</v>
      </c>
      <c r="I35" s="1">
        <v>45723</v>
      </c>
    </row>
    <row r="36" spans="1:9" x14ac:dyDescent="0.25">
      <c r="A36">
        <v>35</v>
      </c>
      <c r="B36" t="s">
        <v>76</v>
      </c>
      <c r="C36">
        <v>16</v>
      </c>
      <c r="D36" t="s">
        <v>194</v>
      </c>
      <c r="E36" t="s">
        <v>12</v>
      </c>
      <c r="F36">
        <v>18</v>
      </c>
      <c r="G36">
        <v>20</v>
      </c>
      <c r="H36" t="b">
        <v>0</v>
      </c>
      <c r="I36" s="1">
        <v>45973</v>
      </c>
    </row>
    <row r="37" spans="1:9" x14ac:dyDescent="0.25">
      <c r="A37">
        <v>36</v>
      </c>
      <c r="B37" t="s">
        <v>77</v>
      </c>
      <c r="C37">
        <v>17</v>
      </c>
      <c r="D37" t="s">
        <v>200</v>
      </c>
      <c r="E37" t="s">
        <v>78</v>
      </c>
      <c r="F37">
        <v>19</v>
      </c>
      <c r="G37">
        <v>112</v>
      </c>
      <c r="H37" t="b">
        <v>0</v>
      </c>
      <c r="I37" s="1">
        <v>45990</v>
      </c>
    </row>
    <row r="38" spans="1:9" x14ac:dyDescent="0.25">
      <c r="A38">
        <v>37</v>
      </c>
      <c r="B38" t="s">
        <v>79</v>
      </c>
      <c r="C38">
        <v>17</v>
      </c>
      <c r="D38" t="s">
        <v>200</v>
      </c>
      <c r="E38" t="s">
        <v>80</v>
      </c>
      <c r="F38">
        <v>26</v>
      </c>
      <c r="G38">
        <v>11</v>
      </c>
      <c r="H38" t="b">
        <v>0</v>
      </c>
      <c r="I38" s="1">
        <v>45870</v>
      </c>
    </row>
    <row r="39" spans="1:9" x14ac:dyDescent="0.25">
      <c r="A39">
        <v>38</v>
      </c>
      <c r="B39" t="s">
        <v>81</v>
      </c>
      <c r="C39">
        <v>18</v>
      </c>
      <c r="D39" t="s">
        <v>194</v>
      </c>
      <c r="E39" t="s">
        <v>82</v>
      </c>
      <c r="F39">
        <v>263.5</v>
      </c>
      <c r="G39">
        <v>17</v>
      </c>
      <c r="H39" t="b">
        <v>0</v>
      </c>
      <c r="I39" s="1">
        <v>45841</v>
      </c>
    </row>
    <row r="40" spans="1:9" x14ac:dyDescent="0.25">
      <c r="A40">
        <v>39</v>
      </c>
      <c r="B40" t="s">
        <v>83</v>
      </c>
      <c r="C40">
        <v>18</v>
      </c>
      <c r="D40" t="s">
        <v>194</v>
      </c>
      <c r="E40" t="s">
        <v>84</v>
      </c>
      <c r="F40">
        <v>18</v>
      </c>
      <c r="G40">
        <v>69</v>
      </c>
      <c r="H40" t="b">
        <v>0</v>
      </c>
      <c r="I40" s="1">
        <v>45860</v>
      </c>
    </row>
    <row r="41" spans="1:9" x14ac:dyDescent="0.25">
      <c r="A41">
        <v>40</v>
      </c>
      <c r="B41" t="s">
        <v>85</v>
      </c>
      <c r="C41">
        <v>19</v>
      </c>
      <c r="D41" t="s">
        <v>200</v>
      </c>
      <c r="E41" t="s">
        <v>86</v>
      </c>
      <c r="F41">
        <v>18.399999999999999</v>
      </c>
      <c r="G41">
        <v>123</v>
      </c>
      <c r="H41" t="b">
        <v>0</v>
      </c>
      <c r="I41" s="1">
        <v>45681</v>
      </c>
    </row>
    <row r="42" spans="1:9" x14ac:dyDescent="0.25">
      <c r="A42">
        <v>41</v>
      </c>
      <c r="B42" t="s">
        <v>87</v>
      </c>
      <c r="C42">
        <v>19</v>
      </c>
      <c r="D42" t="s">
        <v>200</v>
      </c>
      <c r="E42" t="s">
        <v>88</v>
      </c>
      <c r="F42">
        <v>9.65</v>
      </c>
      <c r="G42">
        <v>85</v>
      </c>
      <c r="H42" t="b">
        <v>0</v>
      </c>
      <c r="I42" s="1">
        <v>45856</v>
      </c>
    </row>
    <row r="43" spans="1:9" x14ac:dyDescent="0.25">
      <c r="A43">
        <v>42</v>
      </c>
      <c r="B43" t="s">
        <v>89</v>
      </c>
      <c r="C43">
        <v>20</v>
      </c>
      <c r="D43" t="s">
        <v>198</v>
      </c>
      <c r="E43" t="s">
        <v>90</v>
      </c>
      <c r="F43">
        <v>14</v>
      </c>
      <c r="G43">
        <v>26</v>
      </c>
      <c r="H43" t="b">
        <v>1</v>
      </c>
      <c r="I43" s="1">
        <v>45974</v>
      </c>
    </row>
    <row r="44" spans="1:9" x14ac:dyDescent="0.25">
      <c r="A44">
        <v>43</v>
      </c>
      <c r="B44" t="s">
        <v>91</v>
      </c>
      <c r="C44">
        <v>20</v>
      </c>
      <c r="D44" t="s">
        <v>194</v>
      </c>
      <c r="E44" t="s">
        <v>92</v>
      </c>
      <c r="F44">
        <v>46</v>
      </c>
      <c r="G44">
        <v>17</v>
      </c>
      <c r="H44" t="b">
        <v>0</v>
      </c>
      <c r="I44" s="1">
        <v>45793</v>
      </c>
    </row>
    <row r="45" spans="1:9" x14ac:dyDescent="0.25">
      <c r="A45">
        <v>44</v>
      </c>
      <c r="B45" t="s">
        <v>93</v>
      </c>
      <c r="C45">
        <v>20</v>
      </c>
      <c r="D45" t="s">
        <v>195</v>
      </c>
      <c r="E45" t="s">
        <v>94</v>
      </c>
      <c r="F45">
        <v>19.45</v>
      </c>
      <c r="G45">
        <v>27</v>
      </c>
      <c r="H45" t="b">
        <v>0</v>
      </c>
      <c r="I45" s="1">
        <v>46010</v>
      </c>
    </row>
    <row r="46" spans="1:9" x14ac:dyDescent="0.25">
      <c r="A46">
        <v>45</v>
      </c>
      <c r="B46" t="s">
        <v>95</v>
      </c>
      <c r="C46">
        <v>21</v>
      </c>
      <c r="D46" t="s">
        <v>200</v>
      </c>
      <c r="E46" t="s">
        <v>96</v>
      </c>
      <c r="F46">
        <v>9.5</v>
      </c>
      <c r="G46">
        <v>5</v>
      </c>
      <c r="H46" t="b">
        <v>0</v>
      </c>
      <c r="I46" s="1">
        <v>45732</v>
      </c>
    </row>
    <row r="47" spans="1:9" x14ac:dyDescent="0.25">
      <c r="A47">
        <v>46</v>
      </c>
      <c r="B47" t="s">
        <v>97</v>
      </c>
      <c r="C47">
        <v>21</v>
      </c>
      <c r="D47" t="s">
        <v>200</v>
      </c>
      <c r="E47" t="s">
        <v>98</v>
      </c>
      <c r="F47">
        <v>12</v>
      </c>
      <c r="G47">
        <v>95</v>
      </c>
      <c r="H47" t="b">
        <v>0</v>
      </c>
      <c r="I47" s="1">
        <v>45955</v>
      </c>
    </row>
    <row r="48" spans="1:9" x14ac:dyDescent="0.25">
      <c r="A48">
        <v>47</v>
      </c>
      <c r="B48" t="s">
        <v>99</v>
      </c>
      <c r="C48">
        <v>22</v>
      </c>
      <c r="D48" t="s">
        <v>196</v>
      </c>
      <c r="E48" t="s">
        <v>100</v>
      </c>
      <c r="F48">
        <v>9.5</v>
      </c>
      <c r="G48">
        <v>36</v>
      </c>
      <c r="H48" t="b">
        <v>0</v>
      </c>
      <c r="I48" s="1">
        <v>45985</v>
      </c>
    </row>
    <row r="49" spans="1:9" x14ac:dyDescent="0.25">
      <c r="A49">
        <v>48</v>
      </c>
      <c r="B49" t="s">
        <v>101</v>
      </c>
      <c r="C49">
        <v>22</v>
      </c>
      <c r="D49" t="s">
        <v>196</v>
      </c>
      <c r="E49" t="s">
        <v>102</v>
      </c>
      <c r="F49">
        <v>12.75</v>
      </c>
      <c r="G49">
        <v>15</v>
      </c>
      <c r="H49" t="b">
        <v>0</v>
      </c>
      <c r="I49" s="1">
        <v>45737</v>
      </c>
    </row>
    <row r="50" spans="1:9" x14ac:dyDescent="0.25">
      <c r="A50">
        <v>49</v>
      </c>
      <c r="B50" t="s">
        <v>103</v>
      </c>
      <c r="C50">
        <v>23</v>
      </c>
      <c r="D50" t="s">
        <v>196</v>
      </c>
      <c r="E50" t="s">
        <v>104</v>
      </c>
      <c r="F50">
        <v>20</v>
      </c>
      <c r="G50">
        <v>10</v>
      </c>
      <c r="H50" t="b">
        <v>0</v>
      </c>
      <c r="I50" s="1">
        <v>45768</v>
      </c>
    </row>
    <row r="51" spans="1:9" x14ac:dyDescent="0.25">
      <c r="A51">
        <v>50</v>
      </c>
      <c r="B51" t="s">
        <v>105</v>
      </c>
      <c r="C51">
        <v>23</v>
      </c>
      <c r="D51" t="s">
        <v>196</v>
      </c>
      <c r="E51" t="s">
        <v>106</v>
      </c>
      <c r="F51">
        <v>16.25</v>
      </c>
      <c r="G51">
        <v>65</v>
      </c>
      <c r="H51" t="b">
        <v>0</v>
      </c>
      <c r="I51" s="1">
        <v>45796</v>
      </c>
    </row>
    <row r="52" spans="1:9" x14ac:dyDescent="0.25">
      <c r="A52">
        <v>51</v>
      </c>
      <c r="B52" t="s">
        <v>107</v>
      </c>
      <c r="C52">
        <v>24</v>
      </c>
      <c r="D52" t="s">
        <v>201</v>
      </c>
      <c r="E52" t="s">
        <v>108</v>
      </c>
      <c r="F52">
        <v>53</v>
      </c>
      <c r="G52">
        <v>20</v>
      </c>
      <c r="H52" t="b">
        <v>0</v>
      </c>
      <c r="I52" s="1">
        <v>45968</v>
      </c>
    </row>
    <row r="53" spans="1:9" x14ac:dyDescent="0.25">
      <c r="A53">
        <v>52</v>
      </c>
      <c r="B53" t="s">
        <v>109</v>
      </c>
      <c r="C53">
        <v>24</v>
      </c>
      <c r="D53" t="s">
        <v>198</v>
      </c>
      <c r="E53" t="s">
        <v>110</v>
      </c>
      <c r="F53">
        <v>7</v>
      </c>
      <c r="G53">
        <v>38</v>
      </c>
      <c r="H53" t="b">
        <v>0</v>
      </c>
      <c r="I53" s="1">
        <v>45730</v>
      </c>
    </row>
    <row r="54" spans="1:9" x14ac:dyDescent="0.25">
      <c r="A54">
        <v>53</v>
      </c>
      <c r="B54" t="s">
        <v>111</v>
      </c>
      <c r="C54">
        <v>24</v>
      </c>
      <c r="D54" t="s">
        <v>199</v>
      </c>
      <c r="E54" t="s">
        <v>112</v>
      </c>
      <c r="F54">
        <v>32.799999999999997</v>
      </c>
      <c r="G54">
        <v>0</v>
      </c>
      <c r="H54" t="b">
        <v>1</v>
      </c>
      <c r="I54" s="1">
        <v>45924</v>
      </c>
    </row>
    <row r="55" spans="1:9" x14ac:dyDescent="0.25">
      <c r="A55">
        <v>54</v>
      </c>
      <c r="B55" t="s">
        <v>113</v>
      </c>
      <c r="C55">
        <v>25</v>
      </c>
      <c r="D55" t="s">
        <v>199</v>
      </c>
      <c r="E55" t="s">
        <v>114</v>
      </c>
      <c r="F55">
        <v>7.45</v>
      </c>
      <c r="G55">
        <v>21</v>
      </c>
      <c r="H55" t="b">
        <v>0</v>
      </c>
      <c r="I55" s="1">
        <v>45987</v>
      </c>
    </row>
    <row r="56" spans="1:9" x14ac:dyDescent="0.25">
      <c r="A56">
        <v>55</v>
      </c>
      <c r="B56" t="s">
        <v>115</v>
      </c>
      <c r="C56">
        <v>25</v>
      </c>
      <c r="D56" t="s">
        <v>199</v>
      </c>
      <c r="E56" t="s">
        <v>116</v>
      </c>
      <c r="F56">
        <v>24</v>
      </c>
      <c r="G56">
        <v>115</v>
      </c>
      <c r="H56" t="b">
        <v>0</v>
      </c>
      <c r="I56" s="1">
        <v>45764</v>
      </c>
    </row>
    <row r="57" spans="1:9" x14ac:dyDescent="0.25">
      <c r="A57">
        <v>56</v>
      </c>
      <c r="B57" t="s">
        <v>117</v>
      </c>
      <c r="C57">
        <v>26</v>
      </c>
      <c r="D57" t="s">
        <v>198</v>
      </c>
      <c r="E57" t="s">
        <v>118</v>
      </c>
      <c r="F57">
        <v>38</v>
      </c>
      <c r="G57">
        <v>21</v>
      </c>
      <c r="H57" t="b">
        <v>0</v>
      </c>
      <c r="I57" s="1">
        <v>45899</v>
      </c>
    </row>
    <row r="58" spans="1:9" x14ac:dyDescent="0.25">
      <c r="A58">
        <v>57</v>
      </c>
      <c r="B58" t="s">
        <v>119</v>
      </c>
      <c r="C58">
        <v>26</v>
      </c>
      <c r="D58" t="s">
        <v>198</v>
      </c>
      <c r="E58" t="s">
        <v>118</v>
      </c>
      <c r="F58">
        <v>19.5</v>
      </c>
      <c r="G58">
        <v>36</v>
      </c>
      <c r="H58" t="b">
        <v>0</v>
      </c>
      <c r="I58" s="1">
        <v>45947</v>
      </c>
    </row>
    <row r="59" spans="1:9" x14ac:dyDescent="0.25">
      <c r="A59">
        <v>58</v>
      </c>
      <c r="B59" t="s">
        <v>120</v>
      </c>
      <c r="C59">
        <v>27</v>
      </c>
      <c r="D59" t="s">
        <v>200</v>
      </c>
      <c r="E59" t="s">
        <v>121</v>
      </c>
      <c r="F59">
        <v>13.25</v>
      </c>
      <c r="G59">
        <v>62</v>
      </c>
      <c r="H59" t="b">
        <v>0</v>
      </c>
      <c r="I59" s="1">
        <v>45793</v>
      </c>
    </row>
    <row r="60" spans="1:9" x14ac:dyDescent="0.25">
      <c r="A60">
        <v>59</v>
      </c>
      <c r="B60" t="s">
        <v>122</v>
      </c>
      <c r="C60">
        <v>28</v>
      </c>
      <c r="D60" t="s">
        <v>197</v>
      </c>
      <c r="E60" t="s">
        <v>123</v>
      </c>
      <c r="F60">
        <v>55</v>
      </c>
      <c r="G60">
        <v>79</v>
      </c>
      <c r="H60" t="b">
        <v>0</v>
      </c>
      <c r="I60" s="1">
        <v>45975</v>
      </c>
    </row>
    <row r="61" spans="1:9" x14ac:dyDescent="0.25">
      <c r="A61">
        <v>60</v>
      </c>
      <c r="B61" t="s">
        <v>124</v>
      </c>
      <c r="C61">
        <v>28</v>
      </c>
      <c r="D61" t="s">
        <v>197</v>
      </c>
      <c r="E61" t="s">
        <v>125</v>
      </c>
      <c r="F61">
        <v>34</v>
      </c>
      <c r="G61">
        <v>19</v>
      </c>
      <c r="H61" t="b">
        <v>0</v>
      </c>
      <c r="I61" s="1">
        <v>45771</v>
      </c>
    </row>
    <row r="62" spans="1:9" x14ac:dyDescent="0.25">
      <c r="A62">
        <v>61</v>
      </c>
      <c r="B62" t="s">
        <v>126</v>
      </c>
      <c r="C62">
        <v>29</v>
      </c>
      <c r="D62" t="s">
        <v>195</v>
      </c>
      <c r="E62" t="s">
        <v>127</v>
      </c>
      <c r="F62">
        <v>28.5</v>
      </c>
      <c r="G62">
        <v>113</v>
      </c>
      <c r="H62" t="b">
        <v>0</v>
      </c>
      <c r="I62" s="1">
        <v>45967</v>
      </c>
    </row>
    <row r="63" spans="1:9" x14ac:dyDescent="0.25">
      <c r="A63">
        <v>62</v>
      </c>
      <c r="B63" t="s">
        <v>128</v>
      </c>
      <c r="C63">
        <v>29</v>
      </c>
      <c r="D63" t="s">
        <v>196</v>
      </c>
      <c r="E63" t="s">
        <v>129</v>
      </c>
      <c r="F63">
        <v>49.3</v>
      </c>
      <c r="G63">
        <v>17</v>
      </c>
      <c r="H63" t="b">
        <v>0</v>
      </c>
      <c r="I63" s="1">
        <v>45846</v>
      </c>
    </row>
    <row r="64" spans="1:9" x14ac:dyDescent="0.25">
      <c r="A64">
        <v>63</v>
      </c>
      <c r="B64" t="s">
        <v>130</v>
      </c>
      <c r="C64">
        <v>7</v>
      </c>
      <c r="D64" t="s">
        <v>195</v>
      </c>
      <c r="E64" t="s">
        <v>131</v>
      </c>
      <c r="F64">
        <v>43.9</v>
      </c>
      <c r="G64">
        <v>24</v>
      </c>
      <c r="H64" t="b">
        <v>0</v>
      </c>
      <c r="I64" s="1">
        <v>45824</v>
      </c>
    </row>
    <row r="65" spans="1:9" x14ac:dyDescent="0.25">
      <c r="A65">
        <v>64</v>
      </c>
      <c r="B65" t="s">
        <v>132</v>
      </c>
      <c r="C65">
        <v>12</v>
      </c>
      <c r="D65" t="s">
        <v>198</v>
      </c>
      <c r="E65" t="s">
        <v>133</v>
      </c>
      <c r="F65">
        <v>33.25</v>
      </c>
      <c r="G65">
        <v>22</v>
      </c>
      <c r="H65" t="b">
        <v>0</v>
      </c>
      <c r="I65" s="1">
        <v>45944</v>
      </c>
    </row>
    <row r="66" spans="1:9" x14ac:dyDescent="0.25">
      <c r="A66">
        <v>65</v>
      </c>
      <c r="B66" t="s">
        <v>134</v>
      </c>
      <c r="C66">
        <v>2</v>
      </c>
      <c r="D66" t="s">
        <v>195</v>
      </c>
      <c r="E66" t="s">
        <v>135</v>
      </c>
      <c r="F66">
        <v>21.05</v>
      </c>
      <c r="G66">
        <v>76</v>
      </c>
      <c r="H66" t="b">
        <v>0</v>
      </c>
      <c r="I66" s="1">
        <v>45715</v>
      </c>
    </row>
    <row r="67" spans="1:9" x14ac:dyDescent="0.25">
      <c r="A67">
        <v>66</v>
      </c>
      <c r="B67" t="s">
        <v>136</v>
      </c>
      <c r="C67">
        <v>2</v>
      </c>
      <c r="D67" t="s">
        <v>195</v>
      </c>
      <c r="E67" t="s">
        <v>137</v>
      </c>
      <c r="F67">
        <v>17</v>
      </c>
      <c r="G67">
        <v>4</v>
      </c>
      <c r="H67" t="b">
        <v>0</v>
      </c>
      <c r="I67" s="1">
        <v>46008</v>
      </c>
    </row>
    <row r="68" spans="1:9" x14ac:dyDescent="0.25">
      <c r="A68">
        <v>67</v>
      </c>
      <c r="B68" t="s">
        <v>138</v>
      </c>
      <c r="C68">
        <v>16</v>
      </c>
      <c r="D68" t="s">
        <v>194</v>
      </c>
      <c r="E68" t="s">
        <v>12</v>
      </c>
      <c r="F68">
        <v>14</v>
      </c>
      <c r="G68">
        <v>52</v>
      </c>
      <c r="H68" t="b">
        <v>0</v>
      </c>
      <c r="I68" s="1">
        <v>45715</v>
      </c>
    </row>
    <row r="69" spans="1:9" x14ac:dyDescent="0.25">
      <c r="A69">
        <v>68</v>
      </c>
      <c r="B69" t="s">
        <v>139</v>
      </c>
      <c r="C69">
        <v>8</v>
      </c>
      <c r="D69" t="s">
        <v>196</v>
      </c>
      <c r="E69" t="s">
        <v>140</v>
      </c>
      <c r="F69">
        <v>12.5</v>
      </c>
      <c r="G69">
        <v>6</v>
      </c>
      <c r="H69" t="b">
        <v>0</v>
      </c>
      <c r="I69" s="1">
        <v>45695</v>
      </c>
    </row>
    <row r="70" spans="1:9" x14ac:dyDescent="0.25">
      <c r="A70">
        <v>69</v>
      </c>
      <c r="B70" t="s">
        <v>141</v>
      </c>
      <c r="C70">
        <v>15</v>
      </c>
      <c r="D70" t="s">
        <v>197</v>
      </c>
      <c r="E70" t="s">
        <v>142</v>
      </c>
      <c r="F70">
        <v>36</v>
      </c>
      <c r="G70">
        <v>26</v>
      </c>
      <c r="H70" t="b">
        <v>0</v>
      </c>
      <c r="I70" s="1">
        <v>45827</v>
      </c>
    </row>
    <row r="71" spans="1:9" x14ac:dyDescent="0.25">
      <c r="A71">
        <v>70</v>
      </c>
      <c r="B71" t="s">
        <v>143</v>
      </c>
      <c r="C71">
        <v>7</v>
      </c>
      <c r="D71" t="s">
        <v>194</v>
      </c>
      <c r="E71" t="s">
        <v>144</v>
      </c>
      <c r="F71">
        <v>15</v>
      </c>
      <c r="G71">
        <v>15</v>
      </c>
      <c r="H71" t="b">
        <v>0</v>
      </c>
      <c r="I71" s="1">
        <v>45827</v>
      </c>
    </row>
    <row r="72" spans="1:9" x14ac:dyDescent="0.25">
      <c r="A72">
        <v>71</v>
      </c>
      <c r="B72" t="s">
        <v>145</v>
      </c>
      <c r="C72">
        <v>15</v>
      </c>
      <c r="D72" t="s">
        <v>197</v>
      </c>
      <c r="E72" t="s">
        <v>32</v>
      </c>
      <c r="F72">
        <v>21.5</v>
      </c>
      <c r="G72">
        <v>26</v>
      </c>
      <c r="H72" t="b">
        <v>0</v>
      </c>
      <c r="I72" s="1">
        <v>46004</v>
      </c>
    </row>
    <row r="73" spans="1:9" x14ac:dyDescent="0.25">
      <c r="A73">
        <v>72</v>
      </c>
      <c r="B73" t="s">
        <v>146</v>
      </c>
      <c r="C73">
        <v>14</v>
      </c>
      <c r="D73" t="s">
        <v>197</v>
      </c>
      <c r="E73" t="s">
        <v>72</v>
      </c>
      <c r="F73">
        <v>34.799999999999997</v>
      </c>
      <c r="G73">
        <v>14</v>
      </c>
      <c r="H73" t="b">
        <v>0</v>
      </c>
      <c r="I73" s="1">
        <v>45717</v>
      </c>
    </row>
    <row r="74" spans="1:9" x14ac:dyDescent="0.25">
      <c r="A74">
        <v>73</v>
      </c>
      <c r="B74" t="s">
        <v>147</v>
      </c>
      <c r="C74">
        <v>17</v>
      </c>
      <c r="D74" t="s">
        <v>200</v>
      </c>
      <c r="E74" t="s">
        <v>148</v>
      </c>
      <c r="F74">
        <v>15</v>
      </c>
      <c r="G74">
        <v>101</v>
      </c>
      <c r="H74" t="b">
        <v>0</v>
      </c>
      <c r="I74" s="1">
        <v>45683</v>
      </c>
    </row>
    <row r="75" spans="1:9" x14ac:dyDescent="0.25">
      <c r="A75">
        <v>74</v>
      </c>
      <c r="B75" t="s">
        <v>149</v>
      </c>
      <c r="C75">
        <v>4</v>
      </c>
      <c r="D75" t="s">
        <v>201</v>
      </c>
      <c r="E75" t="s">
        <v>123</v>
      </c>
      <c r="F75">
        <v>10</v>
      </c>
      <c r="G75">
        <v>4</v>
      </c>
      <c r="H75" t="b">
        <v>0</v>
      </c>
      <c r="I75" s="1">
        <v>45904</v>
      </c>
    </row>
    <row r="76" spans="1:9" x14ac:dyDescent="0.25">
      <c r="A76">
        <v>75</v>
      </c>
      <c r="B76" t="s">
        <v>150</v>
      </c>
      <c r="C76">
        <v>12</v>
      </c>
      <c r="D76" t="s">
        <v>194</v>
      </c>
      <c r="E76" t="s">
        <v>151</v>
      </c>
      <c r="F76">
        <v>7.75</v>
      </c>
      <c r="G76">
        <v>125</v>
      </c>
      <c r="H76" t="b">
        <v>0</v>
      </c>
      <c r="I76" s="1">
        <v>45896</v>
      </c>
    </row>
    <row r="77" spans="1:9" x14ac:dyDescent="0.25">
      <c r="A77">
        <v>76</v>
      </c>
      <c r="B77" t="s">
        <v>152</v>
      </c>
      <c r="C77">
        <v>23</v>
      </c>
      <c r="D77" t="s">
        <v>194</v>
      </c>
      <c r="E77" t="s">
        <v>153</v>
      </c>
      <c r="F77">
        <v>18</v>
      </c>
      <c r="G77">
        <v>57</v>
      </c>
      <c r="H77" t="b">
        <v>0</v>
      </c>
      <c r="I77" s="1">
        <v>45704</v>
      </c>
    </row>
    <row r="78" spans="1:9" x14ac:dyDescent="0.25">
      <c r="A78">
        <v>77</v>
      </c>
      <c r="B78" t="s">
        <v>154</v>
      </c>
      <c r="C78">
        <v>12</v>
      </c>
      <c r="D78" t="s">
        <v>195</v>
      </c>
      <c r="E78" t="s">
        <v>155</v>
      </c>
      <c r="F78">
        <v>13</v>
      </c>
      <c r="G78">
        <v>32</v>
      </c>
      <c r="H78" t="b">
        <v>0</v>
      </c>
      <c r="I78" s="1">
        <v>45883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F228-C141-40E4-ACA2-C4BDB20007BB}">
  <dimension ref="A1"/>
  <sheetViews>
    <sheetView workbookViewId="0">
      <selection sqref="A1:XFD1048576"/>
    </sheetView>
  </sheetViews>
  <sheetFormatPr baseColWidth="10" defaultColWidth="8.85546875" defaultRowHeight="15" x14ac:dyDescent="0.25"/>
  <cols>
    <col min="1" max="1" width="11.42578125" customWidth="1"/>
    <col min="2" max="2" width="31.85546875" bestFit="1" customWidth="1"/>
    <col min="3" max="3" width="14.85546875" customWidth="1"/>
    <col min="4" max="4" width="12.28515625" customWidth="1"/>
    <col min="5" max="5" width="19.28515625" bestFit="1" customWidth="1"/>
    <col min="6" max="6" width="11" customWidth="1"/>
    <col min="7" max="7" width="12.85546875" customWidth="1"/>
    <col min="8" max="8" width="16.7109375" customWidth="1"/>
    <col min="9" max="9" width="12.28515625" customWidth="1"/>
    <col min="11" max="11" width="11.425781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8795-AD6B-4757-944B-C5D7EC3DDFB6}">
  <dimension ref="A1:R39"/>
  <sheetViews>
    <sheetView topLeftCell="A5" zoomScale="107" zoomScaleNormal="107" workbookViewId="0">
      <selection activeCell="Q6" sqref="Q6:R10"/>
    </sheetView>
  </sheetViews>
  <sheetFormatPr baseColWidth="10" defaultColWidth="8.85546875" defaultRowHeight="15" x14ac:dyDescent="0.25"/>
  <cols>
    <col min="1" max="1" width="10.42578125" customWidth="1"/>
    <col min="2" max="3" width="4.140625" bestFit="1" customWidth="1"/>
    <col min="4" max="4" width="4.28515625" bestFit="1" customWidth="1"/>
    <col min="5" max="5" width="6.42578125" bestFit="1" customWidth="1"/>
    <col min="6" max="6" width="10.28515625" bestFit="1" customWidth="1"/>
    <col min="8" max="8" width="15.140625" bestFit="1" customWidth="1"/>
    <col min="9" max="9" width="5.42578125" customWidth="1"/>
    <col min="10" max="10" width="5.5703125" customWidth="1"/>
    <col min="11" max="11" width="6.140625" customWidth="1"/>
    <col min="12" max="12" width="8.28515625" customWidth="1"/>
    <col min="13" max="13" width="12" customWidth="1"/>
    <col min="16" max="16" width="18" bestFit="1" customWidth="1"/>
    <col min="17" max="17" width="15.140625" bestFit="1" customWidth="1"/>
    <col min="18" max="18" width="12.7109375" bestFit="1" customWidth="1"/>
  </cols>
  <sheetData>
    <row r="1" spans="1:18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8" x14ac:dyDescent="0.25">
      <c r="A4" s="5" t="s">
        <v>156</v>
      </c>
      <c r="B4" s="5"/>
      <c r="C4" s="3"/>
      <c r="D4" s="3"/>
      <c r="E4" s="3"/>
      <c r="F4" s="3"/>
      <c r="G4" s="3"/>
      <c r="H4" s="10" t="s">
        <v>157</v>
      </c>
      <c r="I4" s="10"/>
      <c r="J4" s="3"/>
      <c r="K4" s="3"/>
      <c r="L4" s="3"/>
      <c r="M4" s="3"/>
    </row>
    <row r="5" spans="1:18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Q5" s="5" t="s">
        <v>156</v>
      </c>
      <c r="R5" s="10" t="s">
        <v>157</v>
      </c>
    </row>
    <row r="6" spans="1:18" x14ac:dyDescent="0.25">
      <c r="A6" s="5" t="s">
        <v>158</v>
      </c>
      <c r="B6" s="5" t="s">
        <v>159</v>
      </c>
      <c r="C6" s="5" t="s">
        <v>160</v>
      </c>
      <c r="D6" s="5" t="s">
        <v>161</v>
      </c>
      <c r="E6" s="5" t="s">
        <v>162</v>
      </c>
      <c r="F6" s="5" t="s">
        <v>163</v>
      </c>
      <c r="G6" s="3"/>
      <c r="P6" s="9" t="s">
        <v>187</v>
      </c>
    </row>
    <row r="7" spans="1:18" x14ac:dyDescent="0.25">
      <c r="A7" s="3" t="s">
        <v>164</v>
      </c>
      <c r="B7" s="3">
        <v>100</v>
      </c>
      <c r="C7" s="3">
        <v>200</v>
      </c>
      <c r="D7" s="3">
        <v>300</v>
      </c>
      <c r="E7" s="3">
        <f>SUM(B7:D7)</f>
        <v>600</v>
      </c>
      <c r="F7" s="8">
        <f t="shared" ref="F7:F20" si="0">E7*(1+tauxTVA)</f>
        <v>648.6</v>
      </c>
      <c r="G7" s="3"/>
      <c r="P7" s="9"/>
    </row>
    <row r="8" spans="1:18" x14ac:dyDescent="0.25">
      <c r="A8" s="3" t="s">
        <v>165</v>
      </c>
      <c r="B8" s="3">
        <v>110</v>
      </c>
      <c r="C8" s="3">
        <v>205</v>
      </c>
      <c r="D8" s="3">
        <v>302</v>
      </c>
      <c r="E8" s="3">
        <f t="shared" ref="E8:E20" si="1">SUM(B8:D8)</f>
        <v>617</v>
      </c>
      <c r="F8" s="8">
        <f t="shared" si="0"/>
        <v>666.97699999999998</v>
      </c>
      <c r="G8" s="3"/>
      <c r="P8" s="9" t="s">
        <v>188</v>
      </c>
      <c r="Q8" s="11"/>
    </row>
    <row r="9" spans="1:18" x14ac:dyDescent="0.25">
      <c r="A9" s="3" t="s">
        <v>166</v>
      </c>
      <c r="B9" s="3">
        <v>120</v>
      </c>
      <c r="C9" s="3">
        <v>210</v>
      </c>
      <c r="D9" s="3">
        <v>304</v>
      </c>
      <c r="E9" s="3">
        <f t="shared" si="1"/>
        <v>634</v>
      </c>
      <c r="F9" s="8">
        <f t="shared" si="0"/>
        <v>685.35399999999993</v>
      </c>
      <c r="G9" s="3"/>
      <c r="P9" s="9"/>
    </row>
    <row r="10" spans="1:18" x14ac:dyDescent="0.25">
      <c r="A10" s="3" t="s">
        <v>167</v>
      </c>
      <c r="B10" s="3">
        <v>130</v>
      </c>
      <c r="C10" s="3">
        <v>215</v>
      </c>
      <c r="D10" s="3">
        <v>306</v>
      </c>
      <c r="E10" s="3">
        <f t="shared" si="1"/>
        <v>651</v>
      </c>
      <c r="F10" s="8">
        <f t="shared" si="0"/>
        <v>703.73099999999999</v>
      </c>
      <c r="G10" s="3"/>
      <c r="P10" s="9" t="s">
        <v>189</v>
      </c>
    </row>
    <row r="11" spans="1:18" x14ac:dyDescent="0.25">
      <c r="A11" s="3" t="s">
        <v>168</v>
      </c>
      <c r="B11" s="3">
        <v>140</v>
      </c>
      <c r="C11" s="3">
        <v>220</v>
      </c>
      <c r="D11" s="3">
        <v>308</v>
      </c>
      <c r="E11" s="3">
        <f t="shared" si="1"/>
        <v>668</v>
      </c>
      <c r="F11" s="8">
        <f t="shared" si="0"/>
        <v>722.10799999999995</v>
      </c>
      <c r="G11" s="3"/>
    </row>
    <row r="12" spans="1:18" x14ac:dyDescent="0.25">
      <c r="A12" s="3" t="s">
        <v>169</v>
      </c>
      <c r="B12" s="3">
        <v>150</v>
      </c>
      <c r="C12" s="3">
        <v>225</v>
      </c>
      <c r="D12" s="3">
        <v>310</v>
      </c>
      <c r="E12" s="3">
        <f t="shared" si="1"/>
        <v>685</v>
      </c>
      <c r="F12" s="8">
        <f t="shared" si="0"/>
        <v>740.48500000000001</v>
      </c>
      <c r="G12" s="3"/>
    </row>
    <row r="13" spans="1:18" x14ac:dyDescent="0.25">
      <c r="A13" s="3" t="s">
        <v>170</v>
      </c>
      <c r="B13" s="3">
        <v>160</v>
      </c>
      <c r="C13" s="3">
        <v>230</v>
      </c>
      <c r="D13" s="3">
        <v>312</v>
      </c>
      <c r="E13" s="3">
        <f t="shared" si="1"/>
        <v>702</v>
      </c>
      <c r="F13" s="8">
        <f t="shared" si="0"/>
        <v>758.86199999999997</v>
      </c>
      <c r="G13" s="3"/>
    </row>
    <row r="14" spans="1:18" x14ac:dyDescent="0.25">
      <c r="A14" s="3" t="s">
        <v>171</v>
      </c>
      <c r="B14" s="3">
        <v>170</v>
      </c>
      <c r="C14" s="3">
        <v>235</v>
      </c>
      <c r="D14" s="3">
        <v>314</v>
      </c>
      <c r="E14" s="3">
        <f t="shared" si="1"/>
        <v>719</v>
      </c>
      <c r="F14" s="8">
        <f t="shared" si="0"/>
        <v>777.23899999999992</v>
      </c>
      <c r="G14" s="3"/>
    </row>
    <row r="15" spans="1:18" x14ac:dyDescent="0.25">
      <c r="A15" s="3" t="s">
        <v>172</v>
      </c>
      <c r="B15" s="3">
        <v>180</v>
      </c>
      <c r="C15" s="3">
        <v>240</v>
      </c>
      <c r="D15" s="3">
        <v>316</v>
      </c>
      <c r="E15" s="3">
        <f t="shared" si="1"/>
        <v>736</v>
      </c>
      <c r="F15" s="8">
        <f t="shared" si="0"/>
        <v>795.61599999999999</v>
      </c>
      <c r="G15" s="3"/>
    </row>
    <row r="16" spans="1:18" x14ac:dyDescent="0.25">
      <c r="A16" s="3" t="s">
        <v>173</v>
      </c>
      <c r="B16" s="3">
        <v>190</v>
      </c>
      <c r="C16" s="3">
        <v>245</v>
      </c>
      <c r="D16" s="3">
        <v>318</v>
      </c>
      <c r="E16" s="3">
        <f t="shared" si="1"/>
        <v>753</v>
      </c>
      <c r="F16" s="8">
        <f t="shared" si="0"/>
        <v>813.99299999999994</v>
      </c>
      <c r="G16" s="3"/>
    </row>
    <row r="17" spans="1:6" x14ac:dyDescent="0.25">
      <c r="A17" s="3" t="s">
        <v>174</v>
      </c>
      <c r="B17" s="3">
        <v>200</v>
      </c>
      <c r="C17" s="3">
        <v>250</v>
      </c>
      <c r="D17" s="3">
        <v>320</v>
      </c>
      <c r="E17" s="3">
        <f t="shared" si="1"/>
        <v>770</v>
      </c>
      <c r="F17" s="8">
        <f t="shared" si="0"/>
        <v>832.37</v>
      </c>
    </row>
    <row r="18" spans="1:6" x14ac:dyDescent="0.25">
      <c r="A18" s="3" t="s">
        <v>175</v>
      </c>
      <c r="B18" s="3">
        <v>210</v>
      </c>
      <c r="C18" s="3">
        <v>255</v>
      </c>
      <c r="D18" s="3">
        <v>322</v>
      </c>
      <c r="E18" s="3">
        <f t="shared" si="1"/>
        <v>787</v>
      </c>
      <c r="F18" s="8">
        <f t="shared" si="0"/>
        <v>850.74699999999996</v>
      </c>
    </row>
    <row r="19" spans="1:6" x14ac:dyDescent="0.25">
      <c r="A19" s="3" t="s">
        <v>176</v>
      </c>
      <c r="B19" s="3">
        <v>220</v>
      </c>
      <c r="C19" s="3">
        <v>260</v>
      </c>
      <c r="D19" s="3">
        <v>324</v>
      </c>
      <c r="E19" s="3">
        <f t="shared" si="1"/>
        <v>804</v>
      </c>
      <c r="F19" s="8">
        <f t="shared" si="0"/>
        <v>869.12400000000002</v>
      </c>
    </row>
    <row r="20" spans="1:6" x14ac:dyDescent="0.25">
      <c r="A20" s="3" t="s">
        <v>177</v>
      </c>
      <c r="B20" s="3">
        <v>230</v>
      </c>
      <c r="C20" s="3">
        <v>265</v>
      </c>
      <c r="D20" s="3">
        <v>326</v>
      </c>
      <c r="E20" s="3">
        <f t="shared" si="1"/>
        <v>821</v>
      </c>
      <c r="F20" s="8">
        <f t="shared" si="0"/>
        <v>887.50099999999998</v>
      </c>
    </row>
    <row r="21" spans="1:6" x14ac:dyDescent="0.25">
      <c r="A21" s="3"/>
      <c r="B21" s="3"/>
      <c r="C21" s="3"/>
      <c r="D21" s="3"/>
      <c r="E21" s="3"/>
      <c r="F21" s="8"/>
    </row>
    <row r="22" spans="1:6" x14ac:dyDescent="0.25">
      <c r="A22" s="3"/>
      <c r="B22" s="3"/>
      <c r="C22" s="3"/>
      <c r="D22" s="3"/>
      <c r="E22" s="3"/>
      <c r="F22" s="8"/>
    </row>
    <row r="23" spans="1:6" x14ac:dyDescent="0.25">
      <c r="A23" s="3"/>
      <c r="B23" s="3"/>
      <c r="C23" s="3"/>
      <c r="D23" s="3"/>
      <c r="E23" s="3"/>
      <c r="F23" s="8"/>
    </row>
    <row r="24" spans="1:6" x14ac:dyDescent="0.25">
      <c r="A24" s="3"/>
      <c r="B24" s="3"/>
      <c r="C24" s="3"/>
      <c r="D24" s="3"/>
      <c r="E24" s="3"/>
      <c r="F24" s="8"/>
    </row>
    <row r="25" spans="1:6" x14ac:dyDescent="0.25">
      <c r="A25" s="3"/>
      <c r="B25" s="3"/>
      <c r="C25" s="3"/>
      <c r="D25" s="3"/>
      <c r="E25" s="3"/>
      <c r="F25" s="8"/>
    </row>
    <row r="26" spans="1:6" x14ac:dyDescent="0.25">
      <c r="A26" s="3"/>
      <c r="B26" s="3"/>
      <c r="C26" s="3"/>
      <c r="D26" s="3"/>
      <c r="E26" s="3"/>
      <c r="F26" s="8"/>
    </row>
    <row r="27" spans="1:6" x14ac:dyDescent="0.25">
      <c r="A27" s="3"/>
      <c r="B27" s="3"/>
      <c r="C27" s="3"/>
      <c r="D27" s="3"/>
      <c r="E27" s="3"/>
      <c r="F27" s="8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 t="s">
        <v>178</v>
      </c>
      <c r="B32" s="3"/>
      <c r="C32" s="3"/>
      <c r="D32" s="3"/>
      <c r="E32" s="3"/>
      <c r="F32" s="3"/>
    </row>
    <row r="33" spans="1:4" x14ac:dyDescent="0.25">
      <c r="A33" s="3" t="s">
        <v>179</v>
      </c>
      <c r="B33" s="3">
        <v>155</v>
      </c>
      <c r="C33" s="3">
        <v>112</v>
      </c>
      <c r="D33">
        <v>188</v>
      </c>
    </row>
    <row r="34" spans="1:4" x14ac:dyDescent="0.25">
      <c r="A34" s="3" t="s">
        <v>180</v>
      </c>
      <c r="B34" s="3">
        <v>165</v>
      </c>
      <c r="C34" s="3">
        <v>225</v>
      </c>
      <c r="D34" s="3">
        <v>152</v>
      </c>
    </row>
    <row r="35" spans="1:4" x14ac:dyDescent="0.25">
      <c r="A35" s="3" t="s">
        <v>181</v>
      </c>
      <c r="B35" s="3">
        <v>190</v>
      </c>
      <c r="C35" s="3">
        <v>214</v>
      </c>
      <c r="D35" s="3">
        <v>245</v>
      </c>
    </row>
    <row r="36" spans="1:4" x14ac:dyDescent="0.25">
      <c r="A36" s="3" t="s">
        <v>182</v>
      </c>
      <c r="B36" s="3">
        <v>210</v>
      </c>
      <c r="C36" s="3">
        <v>258</v>
      </c>
      <c r="D36" s="3">
        <v>354</v>
      </c>
    </row>
    <row r="37" spans="1:4" x14ac:dyDescent="0.25">
      <c r="A37" s="3" t="s">
        <v>183</v>
      </c>
      <c r="B37" s="3">
        <v>224</v>
      </c>
      <c r="C37" s="3">
        <v>301</v>
      </c>
      <c r="D37" s="3">
        <v>321</v>
      </c>
    </row>
    <row r="38" spans="1:4" x14ac:dyDescent="0.25">
      <c r="A38" s="3" t="s">
        <v>184</v>
      </c>
      <c r="B38" s="3">
        <v>290</v>
      </c>
      <c r="C38" s="3">
        <v>340</v>
      </c>
      <c r="D38" s="3">
        <v>365</v>
      </c>
    </row>
    <row r="39" spans="1:4" x14ac:dyDescent="0.25">
      <c r="A39" s="3" t="s">
        <v>185</v>
      </c>
      <c r="B39" s="3">
        <v>190</v>
      </c>
      <c r="C39" s="3">
        <v>170</v>
      </c>
      <c r="D39" s="3">
        <v>300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D17C-E874-4F52-AD58-2A634825D154}">
  <dimension ref="A1:H39"/>
  <sheetViews>
    <sheetView zoomScale="107" zoomScaleNormal="107" workbookViewId="0">
      <selection activeCell="H6" sqref="H6:M20"/>
    </sheetView>
  </sheetViews>
  <sheetFormatPr baseColWidth="10" defaultColWidth="8.85546875" defaultRowHeight="15" x14ac:dyDescent="0.25"/>
  <cols>
    <col min="1" max="1" width="10.42578125" customWidth="1"/>
    <col min="2" max="3" width="4.140625" bestFit="1" customWidth="1"/>
    <col min="4" max="4" width="4.28515625" bestFit="1" customWidth="1"/>
    <col min="5" max="5" width="6.42578125" bestFit="1" customWidth="1"/>
    <col min="6" max="6" width="10.28515625" bestFit="1" customWidth="1"/>
    <col min="8" max="8" width="12.7109375" bestFit="1" customWidth="1"/>
    <col min="9" max="9" width="5.42578125" customWidth="1"/>
    <col min="10" max="10" width="5.5703125" customWidth="1"/>
    <col min="11" max="11" width="6.140625" customWidth="1"/>
    <col min="12" max="12" width="8.28515625" customWidth="1"/>
    <col min="13" max="13" width="12" customWidth="1"/>
  </cols>
  <sheetData>
    <row r="1" spans="1:8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</row>
    <row r="2" spans="1:8" x14ac:dyDescent="0.25">
      <c r="A2" s="4"/>
      <c r="B2" s="4"/>
      <c r="C2" s="4"/>
      <c r="D2" s="4"/>
      <c r="E2" s="4"/>
      <c r="F2" s="4"/>
      <c r="G2" s="4"/>
      <c r="H2" s="4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5" t="s">
        <v>156</v>
      </c>
      <c r="B4" s="5"/>
      <c r="C4" s="3"/>
      <c r="D4" s="3"/>
      <c r="E4" s="3"/>
      <c r="F4" s="3"/>
      <c r="G4" s="3"/>
      <c r="H4" s="6" t="s">
        <v>157</v>
      </c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5" t="s">
        <v>158</v>
      </c>
      <c r="B6" s="5" t="s">
        <v>159</v>
      </c>
      <c r="C6" s="5" t="s">
        <v>160</v>
      </c>
      <c r="D6" s="5" t="s">
        <v>161</v>
      </c>
      <c r="E6" s="5" t="s">
        <v>162</v>
      </c>
      <c r="F6" s="5" t="s">
        <v>163</v>
      </c>
      <c r="G6" s="3"/>
    </row>
    <row r="7" spans="1:8" x14ac:dyDescent="0.25">
      <c r="A7" s="3" t="s">
        <v>164</v>
      </c>
      <c r="B7" s="3">
        <v>100</v>
      </c>
      <c r="C7" s="3">
        <v>200</v>
      </c>
      <c r="D7" s="3">
        <v>300</v>
      </c>
      <c r="E7" s="3">
        <f>SUM(B7:D7)</f>
        <v>600</v>
      </c>
      <c r="F7" s="8">
        <f t="shared" ref="F7:F20" si="0">E7*(1+tauxTVA)</f>
        <v>648.6</v>
      </c>
      <c r="G7" s="3"/>
    </row>
    <row r="8" spans="1:8" x14ac:dyDescent="0.25">
      <c r="A8" s="3" t="s">
        <v>165</v>
      </c>
      <c r="B8" s="3">
        <v>110</v>
      </c>
      <c r="C8" s="3">
        <v>205</v>
      </c>
      <c r="D8" s="3">
        <v>302</v>
      </c>
      <c r="E8" s="3">
        <f t="shared" ref="E8:E20" si="1">SUM(B8:D8)</f>
        <v>617</v>
      </c>
      <c r="F8" s="8">
        <f t="shared" si="0"/>
        <v>666.97699999999998</v>
      </c>
      <c r="G8" s="3"/>
    </row>
    <row r="9" spans="1:8" x14ac:dyDescent="0.25">
      <c r="A9" s="3" t="s">
        <v>166</v>
      </c>
      <c r="B9" s="3">
        <v>120</v>
      </c>
      <c r="C9" s="3">
        <v>210</v>
      </c>
      <c r="D9" s="3">
        <v>304</v>
      </c>
      <c r="E9" s="3">
        <f t="shared" si="1"/>
        <v>634</v>
      </c>
      <c r="F9" s="8">
        <f t="shared" si="0"/>
        <v>685.35399999999993</v>
      </c>
      <c r="G9" s="3"/>
    </row>
    <row r="10" spans="1:8" x14ac:dyDescent="0.25">
      <c r="A10" s="3" t="s">
        <v>167</v>
      </c>
      <c r="B10" s="3">
        <v>130</v>
      </c>
      <c r="C10" s="3">
        <v>215</v>
      </c>
      <c r="D10" s="3">
        <v>306</v>
      </c>
      <c r="E10" s="3">
        <f t="shared" si="1"/>
        <v>651</v>
      </c>
      <c r="F10" s="8">
        <f t="shared" si="0"/>
        <v>703.73099999999999</v>
      </c>
      <c r="G10" s="3"/>
    </row>
    <row r="11" spans="1:8" x14ac:dyDescent="0.25">
      <c r="A11" s="3" t="s">
        <v>168</v>
      </c>
      <c r="B11" s="3">
        <v>140</v>
      </c>
      <c r="C11" s="3">
        <v>220</v>
      </c>
      <c r="D11" s="3">
        <v>308</v>
      </c>
      <c r="E11" s="3">
        <f t="shared" si="1"/>
        <v>668</v>
      </c>
      <c r="F11" s="8">
        <f t="shared" si="0"/>
        <v>722.10799999999995</v>
      </c>
      <c r="G11" s="3"/>
    </row>
    <row r="12" spans="1:8" x14ac:dyDescent="0.25">
      <c r="A12" s="3" t="s">
        <v>169</v>
      </c>
      <c r="B12" s="3">
        <v>150</v>
      </c>
      <c r="C12" s="3">
        <v>225</v>
      </c>
      <c r="D12" s="3">
        <v>310</v>
      </c>
      <c r="E12" s="3">
        <f t="shared" si="1"/>
        <v>685</v>
      </c>
      <c r="F12" s="8">
        <f t="shared" si="0"/>
        <v>740.48500000000001</v>
      </c>
      <c r="G12" s="3"/>
    </row>
    <row r="13" spans="1:8" x14ac:dyDescent="0.25">
      <c r="A13" s="3" t="s">
        <v>170</v>
      </c>
      <c r="B13" s="3">
        <v>160</v>
      </c>
      <c r="C13" s="3">
        <v>230</v>
      </c>
      <c r="D13" s="3">
        <v>312</v>
      </c>
      <c r="E13" s="3">
        <f t="shared" si="1"/>
        <v>702</v>
      </c>
      <c r="F13" s="8">
        <f t="shared" si="0"/>
        <v>758.86199999999997</v>
      </c>
      <c r="G13" s="3"/>
    </row>
    <row r="14" spans="1:8" x14ac:dyDescent="0.25">
      <c r="A14" s="3" t="s">
        <v>171</v>
      </c>
      <c r="B14" s="3">
        <v>170</v>
      </c>
      <c r="C14" s="3">
        <v>235</v>
      </c>
      <c r="D14" s="3">
        <v>314</v>
      </c>
      <c r="E14" s="3">
        <f t="shared" si="1"/>
        <v>719</v>
      </c>
      <c r="F14" s="8">
        <f t="shared" si="0"/>
        <v>777.23899999999992</v>
      </c>
      <c r="G14" s="3"/>
    </row>
    <row r="15" spans="1:8" x14ac:dyDescent="0.25">
      <c r="A15" s="3" t="s">
        <v>172</v>
      </c>
      <c r="B15" s="3">
        <v>180</v>
      </c>
      <c r="C15" s="3">
        <v>240</v>
      </c>
      <c r="D15" s="3">
        <v>316</v>
      </c>
      <c r="E15" s="3">
        <f t="shared" si="1"/>
        <v>736</v>
      </c>
      <c r="F15" s="8">
        <f t="shared" si="0"/>
        <v>795.61599999999999</v>
      </c>
      <c r="G15" s="3"/>
    </row>
    <row r="16" spans="1:8" x14ac:dyDescent="0.25">
      <c r="A16" s="3" t="s">
        <v>173</v>
      </c>
      <c r="B16" s="3">
        <v>190</v>
      </c>
      <c r="C16" s="3">
        <v>245</v>
      </c>
      <c r="D16" s="3">
        <v>318</v>
      </c>
      <c r="E16" s="3">
        <f t="shared" si="1"/>
        <v>753</v>
      </c>
      <c r="F16" s="8">
        <f t="shared" si="0"/>
        <v>813.99299999999994</v>
      </c>
      <c r="G16" s="3"/>
    </row>
    <row r="17" spans="1:6" x14ac:dyDescent="0.25">
      <c r="A17" s="3" t="s">
        <v>174</v>
      </c>
      <c r="B17" s="3">
        <v>200</v>
      </c>
      <c r="C17" s="3">
        <v>250</v>
      </c>
      <c r="D17" s="3">
        <v>320</v>
      </c>
      <c r="E17" s="3">
        <f t="shared" si="1"/>
        <v>770</v>
      </c>
      <c r="F17" s="8">
        <f t="shared" si="0"/>
        <v>832.37</v>
      </c>
    </row>
    <row r="18" spans="1:6" x14ac:dyDescent="0.25">
      <c r="A18" s="3" t="s">
        <v>175</v>
      </c>
      <c r="B18" s="3">
        <v>210</v>
      </c>
      <c r="C18" s="3">
        <v>255</v>
      </c>
      <c r="D18" s="3">
        <v>322</v>
      </c>
      <c r="E18" s="3">
        <f t="shared" si="1"/>
        <v>787</v>
      </c>
      <c r="F18" s="8">
        <f t="shared" si="0"/>
        <v>850.74699999999996</v>
      </c>
    </row>
    <row r="19" spans="1:6" x14ac:dyDescent="0.25">
      <c r="A19" s="3" t="s">
        <v>176</v>
      </c>
      <c r="B19" s="3">
        <v>220</v>
      </c>
      <c r="C19" s="3">
        <v>260</v>
      </c>
      <c r="D19" s="3">
        <v>324</v>
      </c>
      <c r="E19" s="3">
        <f t="shared" si="1"/>
        <v>804</v>
      </c>
      <c r="F19" s="8">
        <f t="shared" si="0"/>
        <v>869.12400000000002</v>
      </c>
    </row>
    <row r="20" spans="1:6" x14ac:dyDescent="0.25">
      <c r="A20" s="3" t="s">
        <v>177</v>
      </c>
      <c r="B20" s="3">
        <v>230</v>
      </c>
      <c r="C20" s="3">
        <v>265</v>
      </c>
      <c r="D20" s="3">
        <v>326</v>
      </c>
      <c r="E20" s="3">
        <f t="shared" si="1"/>
        <v>821</v>
      </c>
      <c r="F20" s="8">
        <f t="shared" si="0"/>
        <v>887.50099999999998</v>
      </c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 t="s">
        <v>178</v>
      </c>
      <c r="B32" s="3"/>
      <c r="C32" s="3"/>
      <c r="D32" s="3"/>
      <c r="E32" s="3"/>
      <c r="F32" s="3"/>
    </row>
    <row r="33" spans="1:4" x14ac:dyDescent="0.25">
      <c r="A33" s="3" t="s">
        <v>179</v>
      </c>
      <c r="B33" s="3">
        <v>155</v>
      </c>
      <c r="C33" s="3">
        <v>112</v>
      </c>
      <c r="D33" s="3">
        <v>188</v>
      </c>
    </row>
    <row r="34" spans="1:4" x14ac:dyDescent="0.25">
      <c r="A34" s="3" t="s">
        <v>180</v>
      </c>
      <c r="B34" s="3">
        <v>165</v>
      </c>
      <c r="C34" s="3">
        <v>225</v>
      </c>
      <c r="D34" s="3">
        <v>152</v>
      </c>
    </row>
    <row r="35" spans="1:4" x14ac:dyDescent="0.25">
      <c r="A35" s="3" t="s">
        <v>181</v>
      </c>
      <c r="B35" s="3">
        <v>190</v>
      </c>
      <c r="C35" s="3">
        <v>214</v>
      </c>
      <c r="D35" s="3">
        <v>245</v>
      </c>
    </row>
    <row r="36" spans="1:4" x14ac:dyDescent="0.25">
      <c r="A36" s="3" t="s">
        <v>182</v>
      </c>
      <c r="B36" s="3">
        <v>210</v>
      </c>
      <c r="C36" s="3">
        <v>258</v>
      </c>
      <c r="D36" s="3">
        <v>354</v>
      </c>
    </row>
    <row r="37" spans="1:4" x14ac:dyDescent="0.25">
      <c r="A37" s="3" t="s">
        <v>183</v>
      </c>
      <c r="B37" s="3">
        <v>224</v>
      </c>
      <c r="C37" s="3">
        <v>301</v>
      </c>
      <c r="D37" s="3">
        <v>321</v>
      </c>
    </row>
    <row r="38" spans="1:4" x14ac:dyDescent="0.25">
      <c r="A38" s="3" t="s">
        <v>184</v>
      </c>
      <c r="B38" s="3">
        <v>290</v>
      </c>
      <c r="C38" s="3">
        <v>340</v>
      </c>
      <c r="D38" s="3">
        <v>365</v>
      </c>
    </row>
    <row r="39" spans="1:4" x14ac:dyDescent="0.25">
      <c r="A39" s="3" t="s">
        <v>185</v>
      </c>
      <c r="B39" s="3">
        <v>190</v>
      </c>
      <c r="C39" s="3">
        <v>170</v>
      </c>
      <c r="D39" s="3">
        <v>300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2098-60F4-4757-A5D8-496D206B27BA}">
  <dimension ref="A1:B1"/>
  <sheetViews>
    <sheetView topLeftCell="B1" zoomScale="110" zoomScaleNormal="110" workbookViewId="0">
      <selection activeCell="B8" sqref="B8"/>
    </sheetView>
  </sheetViews>
  <sheetFormatPr baseColWidth="10" defaultColWidth="8.85546875" defaultRowHeight="15" x14ac:dyDescent="0.25"/>
  <cols>
    <col min="1" max="1" width="11.28515625" customWidth="1"/>
    <col min="2" max="2" width="29.28515625" bestFit="1" customWidth="1"/>
    <col min="3" max="3" width="14.28515625" customWidth="1"/>
    <col min="4" max="4" width="12.28515625" customWidth="1"/>
    <col min="5" max="5" width="17.7109375" bestFit="1" customWidth="1"/>
    <col min="6" max="6" width="10.5703125" customWidth="1"/>
    <col min="7" max="7" width="12.7109375" customWidth="1"/>
    <col min="8" max="8" width="15.85546875" customWidth="1"/>
    <col min="9" max="9" width="11.7109375" customWidth="1"/>
  </cols>
  <sheetData>
    <row r="1" spans="1:2" ht="37.15" customHeight="1" x14ac:dyDescent="0.25">
      <c r="A1" s="2" t="e" vm="1">
        <v>#VALUE!</v>
      </c>
      <c r="B1" s="2" t="e" vm="1">
        <v>#VALUE!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AE59-0524-4885-8D4E-9C486B7FADF1}">
  <dimension ref="A1:G26"/>
  <sheetViews>
    <sheetView workbookViewId="0">
      <selection activeCell="L3" sqref="L3"/>
    </sheetView>
  </sheetViews>
  <sheetFormatPr baseColWidth="10" defaultRowHeight="15" x14ac:dyDescent="0.25"/>
  <cols>
    <col min="2" max="2" width="13.85546875" customWidth="1"/>
    <col min="3" max="3" width="32.7109375" customWidth="1"/>
    <col min="4" max="4" width="12.28515625" customWidth="1"/>
    <col min="7" max="7" width="28.7109375" customWidth="1"/>
    <col min="8" max="8" width="16.7109375" customWidth="1"/>
    <col min="9" max="9" width="12.28515625" customWidth="1"/>
  </cols>
  <sheetData>
    <row r="1" spans="1:7" x14ac:dyDescent="0.25">
      <c r="A1" t="s">
        <v>191</v>
      </c>
    </row>
    <row r="2" spans="1:7" ht="15.75" thickBot="1" x14ac:dyDescent="0.3"/>
    <row r="3" spans="1:7" ht="19.5" thickBot="1" x14ac:dyDescent="0.35">
      <c r="C3" s="12" t="s">
        <v>193</v>
      </c>
      <c r="D3" s="12"/>
      <c r="E3" s="16"/>
      <c r="F3" s="13"/>
      <c r="G3" s="14" t="s">
        <v>193</v>
      </c>
    </row>
    <row r="25" spans="1:3" x14ac:dyDescent="0.25">
      <c r="A25" t="s">
        <v>190</v>
      </c>
    </row>
    <row r="26" spans="1:3" ht="18.75" x14ac:dyDescent="0.3">
      <c r="C26" s="15" t="s">
        <v>192</v>
      </c>
    </row>
  </sheetData>
  <dataValidations count="3">
    <dataValidation type="list" allowBlank="1" showInputMessage="1" showErrorMessage="1" sqref="I3" xr:uid="{12BF0FDC-1720-4909-9D49-0545468997AD}">
      <formula1>Liste_Cat</formula1>
    </dataValidation>
    <dataValidation type="list" allowBlank="1" showInputMessage="1" showErrorMessage="1" sqref="E3" xr:uid="{C01C6EA5-75F2-4243-B2A8-D5F3B0B333A6}">
      <formula1>$A$3:$A$10</formula1>
    </dataValidation>
    <dataValidation type="list" allowBlank="1" showInputMessage="1" showErrorMessage="1" sqref="E26" xr:uid="{184F6B1F-D8E6-4FBE-B598-FA0A597BBC60}">
      <formula1>$A$27:$A$30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0E79-6621-486F-A558-7C0B3CECA927}">
  <dimension ref="A1"/>
  <sheetViews>
    <sheetView workbookViewId="0">
      <selection activeCell="B3" sqref="A1:B10"/>
    </sheetView>
  </sheetViews>
  <sheetFormatPr baseColWidth="10" defaultRowHeight="15" x14ac:dyDescent="0.25"/>
  <cols>
    <col min="1" max="1" width="20.42578125" bestFit="1" customWidth="1"/>
    <col min="2" max="2" width="20.7109375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52F8-62C8-484C-B767-F2388214CCA0}">
  <dimension ref="A1:W80"/>
  <sheetViews>
    <sheetView tabSelected="1" topLeftCell="C13" workbookViewId="0">
      <selection activeCell="L38" sqref="L38:T54"/>
    </sheetView>
  </sheetViews>
  <sheetFormatPr baseColWidth="10" defaultColWidth="9.140625" defaultRowHeight="15" x14ac:dyDescent="0.25"/>
  <cols>
    <col min="1" max="1" width="9.85546875" customWidth="1"/>
    <col min="2" max="2" width="31.85546875" bestFit="1" customWidth="1"/>
    <col min="3" max="3" width="15.7109375" bestFit="1" customWidth="1"/>
    <col min="4" max="4" width="11.28515625" bestFit="1" customWidth="1"/>
    <col min="5" max="5" width="19" bestFit="1" customWidth="1"/>
    <col min="6" max="6" width="7" bestFit="1" customWidth="1"/>
    <col min="7" max="7" width="4" bestFit="1" customWidth="1"/>
    <col min="8" max="8" width="6.140625" bestFit="1" customWidth="1"/>
    <col min="9" max="9" width="10.140625" bestFit="1" customWidth="1"/>
    <col min="12" max="13" width="14.28515625" customWidth="1"/>
    <col min="20" max="20" width="10.5703125" bestFit="1" customWidth="1"/>
    <col min="30" max="30" width="10.5703125" bestFit="1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  <c r="L3" s="17" t="s">
        <v>202</v>
      </c>
      <c r="M3" s="18"/>
      <c r="N3" s="18"/>
      <c r="O3" s="18"/>
      <c r="P3" s="18"/>
      <c r="Q3" s="18"/>
      <c r="R3" s="18"/>
      <c r="S3" s="18"/>
      <c r="T3" s="19"/>
    </row>
    <row r="4" spans="1:23" x14ac:dyDescent="0.25">
      <c r="A4">
        <v>1</v>
      </c>
      <c r="B4" t="s">
        <v>9</v>
      </c>
      <c r="C4">
        <v>1</v>
      </c>
      <c r="D4" t="s">
        <v>194</v>
      </c>
      <c r="E4" t="s">
        <v>10</v>
      </c>
      <c r="F4">
        <v>18</v>
      </c>
      <c r="G4">
        <v>39</v>
      </c>
      <c r="H4" t="b">
        <v>0</v>
      </c>
      <c r="I4" s="1">
        <v>45953</v>
      </c>
      <c r="L4" s="20" t="s">
        <v>2</v>
      </c>
      <c r="M4" s="21" t="s">
        <v>3</v>
      </c>
      <c r="T4" s="22"/>
    </row>
    <row r="5" spans="1:23" x14ac:dyDescent="0.25">
      <c r="A5">
        <v>2</v>
      </c>
      <c r="B5" t="s">
        <v>11</v>
      </c>
      <c r="C5">
        <v>1</v>
      </c>
      <c r="D5" t="s">
        <v>194</v>
      </c>
      <c r="E5" t="s">
        <v>12</v>
      </c>
      <c r="F5">
        <v>19</v>
      </c>
      <c r="G5">
        <v>17</v>
      </c>
      <c r="H5" t="b">
        <v>0</v>
      </c>
      <c r="I5" s="1">
        <v>46007</v>
      </c>
      <c r="L5" s="23"/>
      <c r="T5" s="22"/>
    </row>
    <row r="6" spans="1:23" x14ac:dyDescent="0.25">
      <c r="A6">
        <v>3</v>
      </c>
      <c r="B6" t="s">
        <v>13</v>
      </c>
      <c r="C6">
        <v>1</v>
      </c>
      <c r="D6" t="s">
        <v>195</v>
      </c>
      <c r="E6" t="s">
        <v>14</v>
      </c>
      <c r="F6">
        <v>10</v>
      </c>
      <c r="G6">
        <v>13</v>
      </c>
      <c r="H6" t="b">
        <v>0</v>
      </c>
      <c r="I6" s="1">
        <v>45752</v>
      </c>
      <c r="L6" s="23"/>
      <c r="T6" s="22"/>
    </row>
    <row r="7" spans="1:23" x14ac:dyDescent="0.25">
      <c r="A7">
        <v>4</v>
      </c>
      <c r="B7" t="s">
        <v>15</v>
      </c>
      <c r="C7">
        <v>2</v>
      </c>
      <c r="D7" t="s">
        <v>195</v>
      </c>
      <c r="E7" t="s">
        <v>16</v>
      </c>
      <c r="F7">
        <v>22</v>
      </c>
      <c r="G7">
        <v>53</v>
      </c>
      <c r="H7" t="b">
        <v>0</v>
      </c>
      <c r="I7" s="1">
        <v>45659</v>
      </c>
      <c r="L7" s="23"/>
      <c r="T7" s="24"/>
    </row>
    <row r="8" spans="1:23" x14ac:dyDescent="0.25">
      <c r="A8">
        <v>5</v>
      </c>
      <c r="B8" t="s">
        <v>17</v>
      </c>
      <c r="C8">
        <v>2</v>
      </c>
      <c r="D8" t="s">
        <v>195</v>
      </c>
      <c r="E8" t="s">
        <v>18</v>
      </c>
      <c r="F8">
        <v>21.35</v>
      </c>
      <c r="G8">
        <v>0</v>
      </c>
      <c r="H8" t="b">
        <v>1</v>
      </c>
      <c r="I8" s="1">
        <v>46002</v>
      </c>
      <c r="L8" s="23"/>
      <c r="T8" s="24"/>
    </row>
    <row r="9" spans="1:23" x14ac:dyDescent="0.25">
      <c r="A9">
        <v>6</v>
      </c>
      <c r="B9" t="s">
        <v>19</v>
      </c>
      <c r="C9">
        <v>3</v>
      </c>
      <c r="D9" t="s">
        <v>195</v>
      </c>
      <c r="E9" t="s">
        <v>20</v>
      </c>
      <c r="F9">
        <v>25</v>
      </c>
      <c r="G9">
        <v>120</v>
      </c>
      <c r="H9" t="b">
        <v>0</v>
      </c>
      <c r="I9" s="1">
        <v>45869</v>
      </c>
      <c r="L9" s="23"/>
      <c r="T9" s="24"/>
    </row>
    <row r="10" spans="1:23" x14ac:dyDescent="0.25">
      <c r="A10">
        <v>7</v>
      </c>
      <c r="B10" t="s">
        <v>21</v>
      </c>
      <c r="C10">
        <v>3</v>
      </c>
      <c r="D10" t="s">
        <v>201</v>
      </c>
      <c r="E10" t="s">
        <v>22</v>
      </c>
      <c r="F10">
        <v>30</v>
      </c>
      <c r="G10">
        <v>15</v>
      </c>
      <c r="H10" t="b">
        <v>0</v>
      </c>
      <c r="I10" s="1">
        <v>45995</v>
      </c>
      <c r="L10" s="23"/>
      <c r="T10" s="24"/>
    </row>
    <row r="11" spans="1:23" ht="15.75" thickBot="1" x14ac:dyDescent="0.3">
      <c r="A11">
        <v>8</v>
      </c>
      <c r="B11" t="s">
        <v>23</v>
      </c>
      <c r="C11">
        <v>3</v>
      </c>
      <c r="D11" t="s">
        <v>195</v>
      </c>
      <c r="E11" t="s">
        <v>24</v>
      </c>
      <c r="F11">
        <v>40</v>
      </c>
      <c r="G11">
        <v>6</v>
      </c>
      <c r="H11" t="b">
        <v>0</v>
      </c>
      <c r="I11" s="1">
        <v>45857</v>
      </c>
      <c r="L11" s="25"/>
      <c r="M11" s="26"/>
      <c r="N11" s="26"/>
      <c r="O11" s="26"/>
      <c r="P11" s="26"/>
      <c r="Q11" s="26"/>
      <c r="R11" s="26"/>
      <c r="S11" s="26"/>
      <c r="T11" s="27"/>
    </row>
    <row r="12" spans="1:23" x14ac:dyDescent="0.25">
      <c r="A12">
        <v>9</v>
      </c>
      <c r="B12" t="s">
        <v>25</v>
      </c>
      <c r="C12">
        <v>4</v>
      </c>
      <c r="D12" t="s">
        <v>199</v>
      </c>
      <c r="E12" t="s">
        <v>26</v>
      </c>
      <c r="F12">
        <v>97</v>
      </c>
      <c r="G12">
        <v>29</v>
      </c>
      <c r="H12" t="b">
        <v>1</v>
      </c>
      <c r="I12" s="1">
        <v>45663</v>
      </c>
    </row>
    <row r="13" spans="1:23" x14ac:dyDescent="0.25">
      <c r="A13">
        <v>10</v>
      </c>
      <c r="B13" t="s">
        <v>27</v>
      </c>
      <c r="C13">
        <v>4</v>
      </c>
      <c r="D13" t="s">
        <v>200</v>
      </c>
      <c r="E13" t="s">
        <v>28</v>
      </c>
      <c r="F13">
        <v>31</v>
      </c>
      <c r="G13">
        <v>31</v>
      </c>
      <c r="H13" t="b">
        <v>0</v>
      </c>
      <c r="I13" s="1">
        <v>45757</v>
      </c>
    </row>
    <row r="14" spans="1:23" x14ac:dyDescent="0.25">
      <c r="A14">
        <v>11</v>
      </c>
      <c r="B14" t="s">
        <v>29</v>
      </c>
      <c r="C14">
        <v>5</v>
      </c>
      <c r="D14" t="s">
        <v>197</v>
      </c>
      <c r="E14" t="s">
        <v>30</v>
      </c>
      <c r="F14">
        <v>21</v>
      </c>
      <c r="G14">
        <v>22</v>
      </c>
      <c r="H14" t="b">
        <v>0</v>
      </c>
      <c r="I14" s="1">
        <v>45976</v>
      </c>
    </row>
    <row r="15" spans="1:23" ht="15.75" thickBot="1" x14ac:dyDescent="0.3">
      <c r="A15">
        <v>12</v>
      </c>
      <c r="B15" t="s">
        <v>31</v>
      </c>
      <c r="C15">
        <v>5</v>
      </c>
      <c r="D15" t="s">
        <v>197</v>
      </c>
      <c r="E15" t="s">
        <v>32</v>
      </c>
      <c r="F15">
        <v>38</v>
      </c>
      <c r="G15">
        <v>86</v>
      </c>
      <c r="H15" t="b">
        <v>0</v>
      </c>
      <c r="I15" s="1">
        <v>45894</v>
      </c>
    </row>
    <row r="16" spans="1:23" x14ac:dyDescent="0.25">
      <c r="A16">
        <v>13</v>
      </c>
      <c r="B16" t="s">
        <v>33</v>
      </c>
      <c r="C16">
        <v>6</v>
      </c>
      <c r="D16" t="s">
        <v>200</v>
      </c>
      <c r="E16" t="s">
        <v>34</v>
      </c>
      <c r="F16">
        <v>6</v>
      </c>
      <c r="G16">
        <v>24</v>
      </c>
      <c r="H16" t="b">
        <v>0</v>
      </c>
      <c r="I16" s="1">
        <v>45936</v>
      </c>
      <c r="L16" s="17" t="s">
        <v>203</v>
      </c>
      <c r="M16" s="18"/>
      <c r="N16" s="18"/>
      <c r="O16" s="18"/>
      <c r="P16" s="18"/>
      <c r="Q16" s="18"/>
      <c r="R16" s="18"/>
      <c r="S16" s="18"/>
      <c r="T16" s="19"/>
    </row>
    <row r="17" spans="1:20" x14ac:dyDescent="0.25">
      <c r="A17">
        <v>14</v>
      </c>
      <c r="B17" t="s">
        <v>35</v>
      </c>
      <c r="C17">
        <v>6</v>
      </c>
      <c r="D17" t="s">
        <v>201</v>
      </c>
      <c r="E17" t="s">
        <v>36</v>
      </c>
      <c r="F17">
        <v>23.25</v>
      </c>
      <c r="G17">
        <v>35</v>
      </c>
      <c r="H17" t="b">
        <v>0</v>
      </c>
      <c r="I17" s="1">
        <v>45994</v>
      </c>
      <c r="L17" s="20" t="s">
        <v>2</v>
      </c>
      <c r="M17" s="21" t="s">
        <v>3</v>
      </c>
      <c r="T17" s="22"/>
    </row>
    <row r="18" spans="1:20" x14ac:dyDescent="0.25">
      <c r="A18">
        <v>15</v>
      </c>
      <c r="B18" t="s">
        <v>37</v>
      </c>
      <c r="C18">
        <v>6</v>
      </c>
      <c r="D18" t="s">
        <v>195</v>
      </c>
      <c r="E18" t="s">
        <v>38</v>
      </c>
      <c r="F18">
        <v>15.5</v>
      </c>
      <c r="G18">
        <v>39</v>
      </c>
      <c r="H18" t="b">
        <v>0</v>
      </c>
      <c r="I18" s="1">
        <v>45910</v>
      </c>
      <c r="L18" s="23"/>
      <c r="T18" s="22"/>
    </row>
    <row r="19" spans="1:20" x14ac:dyDescent="0.25">
      <c r="A19">
        <v>16</v>
      </c>
      <c r="B19" t="s">
        <v>39</v>
      </c>
      <c r="C19">
        <v>7</v>
      </c>
      <c r="D19" t="s">
        <v>196</v>
      </c>
      <c r="E19" t="s">
        <v>40</v>
      </c>
      <c r="F19">
        <v>17.45</v>
      </c>
      <c r="G19">
        <v>29</v>
      </c>
      <c r="H19" t="b">
        <v>0</v>
      </c>
      <c r="I19" s="1">
        <v>45722</v>
      </c>
      <c r="L19" s="23"/>
      <c r="T19" s="22"/>
    </row>
    <row r="20" spans="1:20" x14ac:dyDescent="0.25">
      <c r="A20">
        <v>17</v>
      </c>
      <c r="B20" t="s">
        <v>41</v>
      </c>
      <c r="C20">
        <v>7</v>
      </c>
      <c r="D20" t="s">
        <v>199</v>
      </c>
      <c r="E20" t="s">
        <v>42</v>
      </c>
      <c r="F20">
        <v>39</v>
      </c>
      <c r="G20">
        <v>0</v>
      </c>
      <c r="H20" t="b">
        <v>1</v>
      </c>
      <c r="I20" s="1">
        <v>45884</v>
      </c>
      <c r="L20" s="23"/>
      <c r="T20" s="22"/>
    </row>
    <row r="21" spans="1:20" x14ac:dyDescent="0.25">
      <c r="A21">
        <v>18</v>
      </c>
      <c r="B21" t="s">
        <v>43</v>
      </c>
      <c r="C21">
        <v>7</v>
      </c>
      <c r="D21" t="s">
        <v>200</v>
      </c>
      <c r="E21" t="s">
        <v>44</v>
      </c>
      <c r="F21">
        <v>62.5</v>
      </c>
      <c r="G21">
        <v>42</v>
      </c>
      <c r="H21" t="b">
        <v>0</v>
      </c>
      <c r="I21" s="1">
        <v>45679</v>
      </c>
      <c r="L21" s="23"/>
      <c r="T21" s="24"/>
    </row>
    <row r="22" spans="1:20" x14ac:dyDescent="0.25">
      <c r="A22">
        <v>19</v>
      </c>
      <c r="B22" t="s">
        <v>45</v>
      </c>
      <c r="C22">
        <v>8</v>
      </c>
      <c r="D22" t="s">
        <v>196</v>
      </c>
      <c r="E22" t="s">
        <v>46</v>
      </c>
      <c r="F22">
        <v>9.1999999999999993</v>
      </c>
      <c r="G22">
        <v>25</v>
      </c>
      <c r="H22" t="b">
        <v>0</v>
      </c>
      <c r="I22" s="1">
        <v>45739</v>
      </c>
      <c r="L22" s="23"/>
      <c r="T22" s="24"/>
    </row>
    <row r="23" spans="1:20" x14ac:dyDescent="0.25">
      <c r="A23">
        <v>20</v>
      </c>
      <c r="B23" t="s">
        <v>47</v>
      </c>
      <c r="C23">
        <v>8</v>
      </c>
      <c r="D23" t="s">
        <v>196</v>
      </c>
      <c r="E23" t="s">
        <v>48</v>
      </c>
      <c r="F23">
        <v>81</v>
      </c>
      <c r="G23">
        <v>40</v>
      </c>
      <c r="H23" t="b">
        <v>0</v>
      </c>
      <c r="I23" s="1">
        <v>45914</v>
      </c>
      <c r="L23" s="23"/>
      <c r="T23" s="24"/>
    </row>
    <row r="24" spans="1:20" x14ac:dyDescent="0.25">
      <c r="A24">
        <v>21</v>
      </c>
      <c r="B24" t="s">
        <v>49</v>
      </c>
      <c r="C24">
        <v>8</v>
      </c>
      <c r="D24" t="s">
        <v>196</v>
      </c>
      <c r="E24" t="s">
        <v>50</v>
      </c>
      <c r="F24">
        <v>10</v>
      </c>
      <c r="G24">
        <v>3</v>
      </c>
      <c r="H24" t="b">
        <v>0</v>
      </c>
      <c r="I24" s="1">
        <v>45844</v>
      </c>
      <c r="L24" s="23"/>
      <c r="T24" s="24"/>
    </row>
    <row r="25" spans="1:20" x14ac:dyDescent="0.25">
      <c r="A25">
        <v>22</v>
      </c>
      <c r="B25" t="s">
        <v>51</v>
      </c>
      <c r="C25">
        <v>9</v>
      </c>
      <c r="D25" t="s">
        <v>198</v>
      </c>
      <c r="E25" t="s">
        <v>52</v>
      </c>
      <c r="F25">
        <v>21</v>
      </c>
      <c r="G25">
        <v>104</v>
      </c>
      <c r="H25" t="b">
        <v>0</v>
      </c>
      <c r="I25" s="1">
        <v>45724</v>
      </c>
      <c r="L25" s="23"/>
      <c r="T25" s="24"/>
    </row>
    <row r="26" spans="1:20" x14ac:dyDescent="0.25">
      <c r="A26">
        <v>23</v>
      </c>
      <c r="B26" t="s">
        <v>53</v>
      </c>
      <c r="C26">
        <v>9</v>
      </c>
      <c r="D26" t="s">
        <v>198</v>
      </c>
      <c r="E26" t="s">
        <v>54</v>
      </c>
      <c r="F26">
        <v>9</v>
      </c>
      <c r="G26">
        <v>61</v>
      </c>
      <c r="H26" t="b">
        <v>0</v>
      </c>
      <c r="I26" s="1">
        <v>46011</v>
      </c>
      <c r="L26" s="23"/>
      <c r="T26" s="24"/>
    </row>
    <row r="27" spans="1:20" x14ac:dyDescent="0.25">
      <c r="A27">
        <v>24</v>
      </c>
      <c r="B27" t="s">
        <v>55</v>
      </c>
      <c r="C27">
        <v>10</v>
      </c>
      <c r="D27" t="s">
        <v>194</v>
      </c>
      <c r="E27" t="s">
        <v>56</v>
      </c>
      <c r="F27">
        <v>4.5</v>
      </c>
      <c r="G27">
        <v>20</v>
      </c>
      <c r="H27" t="b">
        <v>1</v>
      </c>
      <c r="I27" s="1">
        <v>46018</v>
      </c>
      <c r="L27" s="23"/>
      <c r="T27" s="24"/>
    </row>
    <row r="28" spans="1:20" x14ac:dyDescent="0.25">
      <c r="A28">
        <v>25</v>
      </c>
      <c r="B28" t="s">
        <v>57</v>
      </c>
      <c r="C28">
        <v>11</v>
      </c>
      <c r="D28" t="s">
        <v>196</v>
      </c>
      <c r="E28" t="s">
        <v>58</v>
      </c>
      <c r="F28">
        <v>14</v>
      </c>
      <c r="G28">
        <v>76</v>
      </c>
      <c r="H28" t="b">
        <v>0</v>
      </c>
      <c r="I28" s="1">
        <v>45692</v>
      </c>
      <c r="L28" s="23"/>
      <c r="T28" s="24"/>
    </row>
    <row r="29" spans="1:20" x14ac:dyDescent="0.25">
      <c r="A29">
        <v>26</v>
      </c>
      <c r="B29" t="s">
        <v>59</v>
      </c>
      <c r="C29">
        <v>11</v>
      </c>
      <c r="D29" t="s">
        <v>196</v>
      </c>
      <c r="E29" t="s">
        <v>60</v>
      </c>
      <c r="F29">
        <v>31.23</v>
      </c>
      <c r="G29">
        <v>15</v>
      </c>
      <c r="H29" t="b">
        <v>0</v>
      </c>
      <c r="I29" s="1">
        <v>45911</v>
      </c>
      <c r="L29" s="23"/>
      <c r="T29" s="24"/>
    </row>
    <row r="30" spans="1:20" x14ac:dyDescent="0.25">
      <c r="A30">
        <v>27</v>
      </c>
      <c r="B30" t="s">
        <v>61</v>
      </c>
      <c r="C30">
        <v>11</v>
      </c>
      <c r="D30" t="s">
        <v>196</v>
      </c>
      <c r="E30" t="s">
        <v>62</v>
      </c>
      <c r="F30">
        <v>43.9</v>
      </c>
      <c r="G30">
        <v>49</v>
      </c>
      <c r="H30" t="b">
        <v>0</v>
      </c>
      <c r="I30" s="1">
        <v>45784</v>
      </c>
      <c r="L30" s="23"/>
      <c r="T30" s="24"/>
    </row>
    <row r="31" spans="1:20" x14ac:dyDescent="0.25">
      <c r="A31">
        <v>28</v>
      </c>
      <c r="B31" t="s">
        <v>63</v>
      </c>
      <c r="C31">
        <v>12</v>
      </c>
      <c r="D31" t="s">
        <v>201</v>
      </c>
      <c r="E31" t="s">
        <v>64</v>
      </c>
      <c r="F31">
        <v>45.6</v>
      </c>
      <c r="G31">
        <v>26</v>
      </c>
      <c r="H31" t="b">
        <v>1</v>
      </c>
      <c r="I31" s="1">
        <v>45731</v>
      </c>
      <c r="L31" s="23"/>
      <c r="T31" s="24"/>
    </row>
    <row r="32" spans="1:20" x14ac:dyDescent="0.25">
      <c r="A32">
        <v>29</v>
      </c>
      <c r="B32" t="s">
        <v>65</v>
      </c>
      <c r="C32">
        <v>12</v>
      </c>
      <c r="D32" t="s">
        <v>199</v>
      </c>
      <c r="E32" t="s">
        <v>66</v>
      </c>
      <c r="F32">
        <v>123.79</v>
      </c>
      <c r="G32">
        <v>0</v>
      </c>
      <c r="H32" t="b">
        <v>1</v>
      </c>
      <c r="I32" s="1">
        <v>45943</v>
      </c>
      <c r="L32" s="23"/>
      <c r="T32" s="24"/>
    </row>
    <row r="33" spans="1:20" ht="15.75" thickBot="1" x14ac:dyDescent="0.3">
      <c r="A33">
        <v>30</v>
      </c>
      <c r="B33" t="s">
        <v>67</v>
      </c>
      <c r="C33">
        <v>13</v>
      </c>
      <c r="D33" t="s">
        <v>200</v>
      </c>
      <c r="E33" t="s">
        <v>68</v>
      </c>
      <c r="F33">
        <v>25.89</v>
      </c>
      <c r="G33">
        <v>10</v>
      </c>
      <c r="H33" t="b">
        <v>0</v>
      </c>
      <c r="I33" s="1">
        <v>45723</v>
      </c>
      <c r="L33" s="25"/>
      <c r="M33" s="26"/>
      <c r="N33" s="26"/>
      <c r="O33" s="26"/>
      <c r="P33" s="26"/>
      <c r="Q33" s="26"/>
      <c r="R33" s="26"/>
      <c r="S33" s="26"/>
      <c r="T33" s="27"/>
    </row>
    <row r="34" spans="1:20" x14ac:dyDescent="0.25">
      <c r="A34">
        <v>31</v>
      </c>
      <c r="B34" t="s">
        <v>69</v>
      </c>
      <c r="C34">
        <v>14</v>
      </c>
      <c r="D34" t="s">
        <v>197</v>
      </c>
      <c r="E34" t="s">
        <v>70</v>
      </c>
      <c r="F34">
        <v>12.5</v>
      </c>
      <c r="G34">
        <v>0</v>
      </c>
      <c r="H34" t="b">
        <v>0</v>
      </c>
      <c r="I34" s="1">
        <v>45791</v>
      </c>
    </row>
    <row r="35" spans="1:20" ht="15.75" thickBot="1" x14ac:dyDescent="0.3">
      <c r="A35">
        <v>32</v>
      </c>
      <c r="B35" t="s">
        <v>71</v>
      </c>
      <c r="C35">
        <v>14</v>
      </c>
      <c r="D35" t="s">
        <v>197</v>
      </c>
      <c r="E35" t="s">
        <v>72</v>
      </c>
      <c r="F35">
        <v>32</v>
      </c>
      <c r="G35">
        <v>9</v>
      </c>
      <c r="H35" t="b">
        <v>0</v>
      </c>
      <c r="I35" s="1">
        <v>46011</v>
      </c>
    </row>
    <row r="36" spans="1:20" x14ac:dyDescent="0.25">
      <c r="A36">
        <v>33</v>
      </c>
      <c r="B36" t="s">
        <v>73</v>
      </c>
      <c r="C36">
        <v>15</v>
      </c>
      <c r="D36" t="s">
        <v>197</v>
      </c>
      <c r="E36" t="s">
        <v>74</v>
      </c>
      <c r="F36">
        <v>2.5</v>
      </c>
      <c r="G36">
        <v>112</v>
      </c>
      <c r="H36" t="b">
        <v>0</v>
      </c>
      <c r="I36" s="1">
        <v>45804</v>
      </c>
      <c r="L36" s="17" t="s">
        <v>204</v>
      </c>
      <c r="M36" s="18"/>
      <c r="N36" s="18"/>
      <c r="O36" s="18"/>
      <c r="P36" s="18"/>
      <c r="Q36" s="18"/>
      <c r="R36" s="18"/>
      <c r="S36" s="18"/>
      <c r="T36" s="19"/>
    </row>
    <row r="37" spans="1:20" x14ac:dyDescent="0.25">
      <c r="A37">
        <v>34</v>
      </c>
      <c r="B37" t="s">
        <v>75</v>
      </c>
      <c r="C37">
        <v>16</v>
      </c>
      <c r="D37" t="s">
        <v>194</v>
      </c>
      <c r="E37" t="s">
        <v>12</v>
      </c>
      <c r="F37">
        <v>14</v>
      </c>
      <c r="G37">
        <v>111</v>
      </c>
      <c r="H37" t="b">
        <v>0</v>
      </c>
      <c r="I37" s="1">
        <v>45723</v>
      </c>
      <c r="L37" s="20" t="s">
        <v>2</v>
      </c>
      <c r="M37" s="21" t="s">
        <v>3</v>
      </c>
      <c r="T37" s="22"/>
    </row>
    <row r="38" spans="1:20" x14ac:dyDescent="0.25">
      <c r="A38">
        <v>35</v>
      </c>
      <c r="B38" t="s">
        <v>76</v>
      </c>
      <c r="C38">
        <v>16</v>
      </c>
      <c r="D38" t="s">
        <v>194</v>
      </c>
      <c r="E38" t="s">
        <v>12</v>
      </c>
      <c r="F38">
        <v>18</v>
      </c>
      <c r="G38">
        <v>20</v>
      </c>
      <c r="H38" t="b">
        <v>0</v>
      </c>
      <c r="I38" s="1">
        <v>45973</v>
      </c>
      <c r="L38" s="23"/>
      <c r="T38" s="22"/>
    </row>
    <row r="39" spans="1:20" x14ac:dyDescent="0.25">
      <c r="A39">
        <v>36</v>
      </c>
      <c r="B39" t="s">
        <v>77</v>
      </c>
      <c r="C39">
        <v>17</v>
      </c>
      <c r="D39" t="s">
        <v>200</v>
      </c>
      <c r="E39" t="s">
        <v>78</v>
      </c>
      <c r="F39">
        <v>19</v>
      </c>
      <c r="G39">
        <v>112</v>
      </c>
      <c r="H39" t="b">
        <v>0</v>
      </c>
      <c r="I39" s="1">
        <v>45990</v>
      </c>
      <c r="L39" s="23"/>
      <c r="T39" s="22"/>
    </row>
    <row r="40" spans="1:20" x14ac:dyDescent="0.25">
      <c r="A40">
        <v>37</v>
      </c>
      <c r="B40" t="s">
        <v>79</v>
      </c>
      <c r="C40">
        <v>17</v>
      </c>
      <c r="D40" t="s">
        <v>200</v>
      </c>
      <c r="E40" t="s">
        <v>80</v>
      </c>
      <c r="F40">
        <v>26</v>
      </c>
      <c r="G40">
        <v>11</v>
      </c>
      <c r="H40" t="b">
        <v>0</v>
      </c>
      <c r="I40" s="1">
        <v>45870</v>
      </c>
      <c r="L40" s="23"/>
      <c r="T40" s="22"/>
    </row>
    <row r="41" spans="1:20" x14ac:dyDescent="0.25">
      <c r="A41">
        <v>38</v>
      </c>
      <c r="B41" t="s">
        <v>81</v>
      </c>
      <c r="C41">
        <v>18</v>
      </c>
      <c r="D41" t="s">
        <v>194</v>
      </c>
      <c r="E41" t="s">
        <v>82</v>
      </c>
      <c r="F41">
        <v>263.5</v>
      </c>
      <c r="G41">
        <v>17</v>
      </c>
      <c r="H41" t="b">
        <v>0</v>
      </c>
      <c r="I41" s="1">
        <v>45841</v>
      </c>
      <c r="L41" s="23"/>
      <c r="T41" s="24"/>
    </row>
    <row r="42" spans="1:20" x14ac:dyDescent="0.25">
      <c r="A42">
        <v>39</v>
      </c>
      <c r="B42" t="s">
        <v>83</v>
      </c>
      <c r="C42">
        <v>18</v>
      </c>
      <c r="D42" t="s">
        <v>194</v>
      </c>
      <c r="E42" t="s">
        <v>84</v>
      </c>
      <c r="F42">
        <v>18</v>
      </c>
      <c r="G42">
        <v>69</v>
      </c>
      <c r="H42" t="b">
        <v>0</v>
      </c>
      <c r="I42" s="1">
        <v>45860</v>
      </c>
      <c r="L42" s="23"/>
      <c r="T42" s="24"/>
    </row>
    <row r="43" spans="1:20" x14ac:dyDescent="0.25">
      <c r="A43">
        <v>40</v>
      </c>
      <c r="B43" t="s">
        <v>85</v>
      </c>
      <c r="C43">
        <v>19</v>
      </c>
      <c r="D43" t="s">
        <v>200</v>
      </c>
      <c r="E43" t="s">
        <v>86</v>
      </c>
      <c r="F43">
        <v>18.399999999999999</v>
      </c>
      <c r="G43">
        <v>123</v>
      </c>
      <c r="H43" t="b">
        <v>0</v>
      </c>
      <c r="I43" s="1">
        <v>45681</v>
      </c>
      <c r="L43" s="23"/>
      <c r="T43" s="24"/>
    </row>
    <row r="44" spans="1:20" x14ac:dyDescent="0.25">
      <c r="A44">
        <v>41</v>
      </c>
      <c r="B44" t="s">
        <v>87</v>
      </c>
      <c r="C44">
        <v>19</v>
      </c>
      <c r="D44" t="s">
        <v>200</v>
      </c>
      <c r="E44" t="s">
        <v>88</v>
      </c>
      <c r="F44">
        <v>9.65</v>
      </c>
      <c r="G44">
        <v>85</v>
      </c>
      <c r="H44" t="b">
        <v>0</v>
      </c>
      <c r="I44" s="1">
        <v>45856</v>
      </c>
      <c r="L44" s="23"/>
      <c r="T44" s="24"/>
    </row>
    <row r="45" spans="1:20" x14ac:dyDescent="0.25">
      <c r="A45">
        <v>42</v>
      </c>
      <c r="B45" t="s">
        <v>89</v>
      </c>
      <c r="C45">
        <v>20</v>
      </c>
      <c r="D45" t="s">
        <v>198</v>
      </c>
      <c r="E45" t="s">
        <v>90</v>
      </c>
      <c r="F45">
        <v>14</v>
      </c>
      <c r="G45">
        <v>26</v>
      </c>
      <c r="H45" t="b">
        <v>1</v>
      </c>
      <c r="I45" s="1">
        <v>45974</v>
      </c>
      <c r="L45" s="23"/>
      <c r="T45" s="24"/>
    </row>
    <row r="46" spans="1:20" x14ac:dyDescent="0.25">
      <c r="A46">
        <v>43</v>
      </c>
      <c r="B46" t="s">
        <v>91</v>
      </c>
      <c r="C46">
        <v>20</v>
      </c>
      <c r="D46" t="s">
        <v>194</v>
      </c>
      <c r="E46" t="s">
        <v>92</v>
      </c>
      <c r="F46">
        <v>46</v>
      </c>
      <c r="G46">
        <v>17</v>
      </c>
      <c r="H46" t="b">
        <v>0</v>
      </c>
      <c r="I46" s="1">
        <v>45793</v>
      </c>
      <c r="L46" s="23"/>
      <c r="T46" s="24"/>
    </row>
    <row r="47" spans="1:20" x14ac:dyDescent="0.25">
      <c r="A47">
        <v>44</v>
      </c>
      <c r="B47" t="s">
        <v>93</v>
      </c>
      <c r="C47">
        <v>20</v>
      </c>
      <c r="D47" t="s">
        <v>195</v>
      </c>
      <c r="E47" t="s">
        <v>94</v>
      </c>
      <c r="F47">
        <v>19.45</v>
      </c>
      <c r="G47">
        <v>27</v>
      </c>
      <c r="H47" t="b">
        <v>0</v>
      </c>
      <c r="I47" s="1">
        <v>46010</v>
      </c>
      <c r="L47" s="23"/>
      <c r="T47" s="24"/>
    </row>
    <row r="48" spans="1:20" x14ac:dyDescent="0.25">
      <c r="A48">
        <v>45</v>
      </c>
      <c r="B48" t="s">
        <v>95</v>
      </c>
      <c r="C48">
        <v>21</v>
      </c>
      <c r="D48" t="s">
        <v>200</v>
      </c>
      <c r="E48" t="s">
        <v>96</v>
      </c>
      <c r="F48">
        <v>9.5</v>
      </c>
      <c r="G48">
        <v>5</v>
      </c>
      <c r="H48" t="b">
        <v>0</v>
      </c>
      <c r="I48" s="1">
        <v>45732</v>
      </c>
      <c r="L48" s="23"/>
      <c r="T48" s="24"/>
    </row>
    <row r="49" spans="1:20" x14ac:dyDescent="0.25">
      <c r="A49">
        <v>46</v>
      </c>
      <c r="B49" t="s">
        <v>97</v>
      </c>
      <c r="C49">
        <v>21</v>
      </c>
      <c r="D49" t="s">
        <v>200</v>
      </c>
      <c r="E49" t="s">
        <v>98</v>
      </c>
      <c r="F49">
        <v>12</v>
      </c>
      <c r="G49">
        <v>95</v>
      </c>
      <c r="H49" t="b">
        <v>0</v>
      </c>
      <c r="I49" s="1">
        <v>45955</v>
      </c>
      <c r="L49" s="23"/>
      <c r="T49" s="24"/>
    </row>
    <row r="50" spans="1:20" x14ac:dyDescent="0.25">
      <c r="A50">
        <v>47</v>
      </c>
      <c r="B50" t="s">
        <v>99</v>
      </c>
      <c r="C50">
        <v>22</v>
      </c>
      <c r="D50" t="s">
        <v>196</v>
      </c>
      <c r="E50" t="s">
        <v>100</v>
      </c>
      <c r="F50">
        <v>9.5</v>
      </c>
      <c r="G50">
        <v>36</v>
      </c>
      <c r="H50" t="b">
        <v>0</v>
      </c>
      <c r="I50" s="1">
        <v>45985</v>
      </c>
      <c r="L50" s="23"/>
      <c r="T50" s="24"/>
    </row>
    <row r="51" spans="1:20" x14ac:dyDescent="0.25">
      <c r="A51">
        <v>48</v>
      </c>
      <c r="B51" t="s">
        <v>101</v>
      </c>
      <c r="C51">
        <v>22</v>
      </c>
      <c r="D51" t="s">
        <v>196</v>
      </c>
      <c r="E51" t="s">
        <v>102</v>
      </c>
      <c r="F51">
        <v>12.75</v>
      </c>
      <c r="G51">
        <v>15</v>
      </c>
      <c r="H51" t="b">
        <v>0</v>
      </c>
      <c r="I51" s="1">
        <v>45737</v>
      </c>
      <c r="L51" s="23"/>
      <c r="T51" s="24"/>
    </row>
    <row r="52" spans="1:20" x14ac:dyDescent="0.25">
      <c r="A52">
        <v>49</v>
      </c>
      <c r="B52" t="s">
        <v>103</v>
      </c>
      <c r="C52">
        <v>23</v>
      </c>
      <c r="D52" t="s">
        <v>196</v>
      </c>
      <c r="E52" t="s">
        <v>104</v>
      </c>
      <c r="F52">
        <v>20</v>
      </c>
      <c r="G52">
        <v>10</v>
      </c>
      <c r="H52" t="b">
        <v>0</v>
      </c>
      <c r="I52" s="1">
        <v>45768</v>
      </c>
      <c r="L52" s="23"/>
      <c r="T52" s="24"/>
    </row>
    <row r="53" spans="1:20" x14ac:dyDescent="0.25">
      <c r="A53">
        <v>50</v>
      </c>
      <c r="B53" t="s">
        <v>105</v>
      </c>
      <c r="C53">
        <v>23</v>
      </c>
      <c r="D53" t="s">
        <v>196</v>
      </c>
      <c r="E53" t="s">
        <v>106</v>
      </c>
      <c r="F53">
        <v>16.25</v>
      </c>
      <c r="G53">
        <v>65</v>
      </c>
      <c r="H53" t="b">
        <v>0</v>
      </c>
      <c r="I53" s="1">
        <v>45796</v>
      </c>
      <c r="L53" s="23"/>
      <c r="T53" s="24"/>
    </row>
    <row r="54" spans="1:20" ht="15.75" thickBot="1" x14ac:dyDescent="0.3">
      <c r="A54">
        <v>51</v>
      </c>
      <c r="B54" t="s">
        <v>107</v>
      </c>
      <c r="C54">
        <v>24</v>
      </c>
      <c r="D54" t="s">
        <v>201</v>
      </c>
      <c r="E54" t="s">
        <v>108</v>
      </c>
      <c r="F54">
        <v>53</v>
      </c>
      <c r="G54">
        <v>20</v>
      </c>
      <c r="H54" t="b">
        <v>0</v>
      </c>
      <c r="I54" s="1">
        <v>45968</v>
      </c>
      <c r="L54" s="25"/>
      <c r="M54" s="26"/>
      <c r="N54" s="26"/>
      <c r="O54" s="26"/>
      <c r="P54" s="26"/>
      <c r="Q54" s="26"/>
      <c r="R54" s="26"/>
      <c r="S54" s="26"/>
      <c r="T54" s="27"/>
    </row>
    <row r="55" spans="1:20" x14ac:dyDescent="0.25">
      <c r="A55">
        <v>52</v>
      </c>
      <c r="B55" t="s">
        <v>109</v>
      </c>
      <c r="C55">
        <v>24</v>
      </c>
      <c r="D55" t="s">
        <v>198</v>
      </c>
      <c r="E55" t="s">
        <v>110</v>
      </c>
      <c r="F55">
        <v>7</v>
      </c>
      <c r="G55">
        <v>38</v>
      </c>
      <c r="H55" t="b">
        <v>0</v>
      </c>
      <c r="I55" s="1">
        <v>45730</v>
      </c>
    </row>
    <row r="56" spans="1:20" x14ac:dyDescent="0.25">
      <c r="A56">
        <v>53</v>
      </c>
      <c r="B56" t="s">
        <v>111</v>
      </c>
      <c r="C56">
        <v>24</v>
      </c>
      <c r="D56" t="s">
        <v>199</v>
      </c>
      <c r="E56" t="s">
        <v>112</v>
      </c>
      <c r="F56">
        <v>32.799999999999997</v>
      </c>
      <c r="G56">
        <v>0</v>
      </c>
      <c r="H56" t="b">
        <v>1</v>
      </c>
      <c r="I56" s="1">
        <v>45924</v>
      </c>
    </row>
    <row r="57" spans="1:20" x14ac:dyDescent="0.25">
      <c r="A57">
        <v>54</v>
      </c>
      <c r="B57" t="s">
        <v>113</v>
      </c>
      <c r="C57">
        <v>25</v>
      </c>
      <c r="D57" t="s">
        <v>199</v>
      </c>
      <c r="E57" t="s">
        <v>114</v>
      </c>
      <c r="F57">
        <v>7.45</v>
      </c>
      <c r="G57">
        <v>21</v>
      </c>
      <c r="H57" t="b">
        <v>0</v>
      </c>
      <c r="I57" s="1">
        <v>45987</v>
      </c>
    </row>
    <row r="58" spans="1:20" x14ac:dyDescent="0.25">
      <c r="A58">
        <v>55</v>
      </c>
      <c r="B58" t="s">
        <v>115</v>
      </c>
      <c r="C58">
        <v>25</v>
      </c>
      <c r="D58" t="s">
        <v>199</v>
      </c>
      <c r="E58" t="s">
        <v>116</v>
      </c>
      <c r="F58">
        <v>24</v>
      </c>
      <c r="G58">
        <v>115</v>
      </c>
      <c r="H58" t="b">
        <v>0</v>
      </c>
      <c r="I58" s="1">
        <v>45764</v>
      </c>
    </row>
    <row r="59" spans="1:20" x14ac:dyDescent="0.25">
      <c r="A59">
        <v>56</v>
      </c>
      <c r="B59" t="s">
        <v>117</v>
      </c>
      <c r="C59">
        <v>26</v>
      </c>
      <c r="D59" t="s">
        <v>198</v>
      </c>
      <c r="E59" t="s">
        <v>118</v>
      </c>
      <c r="F59">
        <v>38</v>
      </c>
      <c r="G59">
        <v>21</v>
      </c>
      <c r="H59" t="b">
        <v>0</v>
      </c>
      <c r="I59" s="1">
        <v>45899</v>
      </c>
    </row>
    <row r="60" spans="1:20" x14ac:dyDescent="0.25">
      <c r="A60">
        <v>57</v>
      </c>
      <c r="B60" t="s">
        <v>119</v>
      </c>
      <c r="C60">
        <v>26</v>
      </c>
      <c r="D60" t="s">
        <v>198</v>
      </c>
      <c r="E60" t="s">
        <v>118</v>
      </c>
      <c r="F60">
        <v>19.5</v>
      </c>
      <c r="G60">
        <v>36</v>
      </c>
      <c r="H60" t="b">
        <v>0</v>
      </c>
      <c r="I60" s="1">
        <v>45947</v>
      </c>
    </row>
    <row r="61" spans="1:20" x14ac:dyDescent="0.25">
      <c r="A61">
        <v>58</v>
      </c>
      <c r="B61" t="s">
        <v>120</v>
      </c>
      <c r="C61">
        <v>27</v>
      </c>
      <c r="D61" t="s">
        <v>200</v>
      </c>
      <c r="E61" t="s">
        <v>121</v>
      </c>
      <c r="F61">
        <v>13.25</v>
      </c>
      <c r="G61">
        <v>62</v>
      </c>
      <c r="H61" t="b">
        <v>0</v>
      </c>
      <c r="I61" s="1">
        <v>45793</v>
      </c>
    </row>
    <row r="62" spans="1:20" x14ac:dyDescent="0.25">
      <c r="A62">
        <v>59</v>
      </c>
      <c r="B62" t="s">
        <v>122</v>
      </c>
      <c r="C62">
        <v>28</v>
      </c>
      <c r="D62" t="s">
        <v>197</v>
      </c>
      <c r="E62" t="s">
        <v>123</v>
      </c>
      <c r="F62">
        <v>55</v>
      </c>
      <c r="G62">
        <v>79</v>
      </c>
      <c r="H62" t="b">
        <v>0</v>
      </c>
      <c r="I62" s="1">
        <v>45975</v>
      </c>
    </row>
    <row r="63" spans="1:20" x14ac:dyDescent="0.25">
      <c r="A63">
        <v>60</v>
      </c>
      <c r="B63" t="s">
        <v>124</v>
      </c>
      <c r="C63">
        <v>28</v>
      </c>
      <c r="D63" t="s">
        <v>197</v>
      </c>
      <c r="E63" t="s">
        <v>125</v>
      </c>
      <c r="F63">
        <v>34</v>
      </c>
      <c r="G63">
        <v>19</v>
      </c>
      <c r="H63" t="b">
        <v>0</v>
      </c>
      <c r="I63" s="1">
        <v>45771</v>
      </c>
    </row>
    <row r="64" spans="1:20" x14ac:dyDescent="0.25">
      <c r="A64">
        <v>61</v>
      </c>
      <c r="B64" t="s">
        <v>126</v>
      </c>
      <c r="C64">
        <v>29</v>
      </c>
      <c r="D64" t="s">
        <v>195</v>
      </c>
      <c r="E64" t="s">
        <v>127</v>
      </c>
      <c r="F64">
        <v>28.5</v>
      </c>
      <c r="G64">
        <v>113</v>
      </c>
      <c r="H64" t="b">
        <v>0</v>
      </c>
      <c r="I64" s="1">
        <v>45967</v>
      </c>
    </row>
    <row r="65" spans="1:9" x14ac:dyDescent="0.25">
      <c r="A65">
        <v>62</v>
      </c>
      <c r="B65" t="s">
        <v>128</v>
      </c>
      <c r="C65">
        <v>29</v>
      </c>
      <c r="D65" t="s">
        <v>196</v>
      </c>
      <c r="E65" t="s">
        <v>129</v>
      </c>
      <c r="F65">
        <v>49.3</v>
      </c>
      <c r="G65">
        <v>17</v>
      </c>
      <c r="H65" t="b">
        <v>0</v>
      </c>
      <c r="I65" s="1">
        <v>45846</v>
      </c>
    </row>
    <row r="66" spans="1:9" x14ac:dyDescent="0.25">
      <c r="A66">
        <v>63</v>
      </c>
      <c r="B66" t="s">
        <v>130</v>
      </c>
      <c r="C66">
        <v>7</v>
      </c>
      <c r="D66" t="s">
        <v>195</v>
      </c>
      <c r="E66" t="s">
        <v>131</v>
      </c>
      <c r="F66">
        <v>43.9</v>
      </c>
      <c r="G66">
        <v>24</v>
      </c>
      <c r="H66" t="b">
        <v>0</v>
      </c>
      <c r="I66" s="1">
        <v>45824</v>
      </c>
    </row>
    <row r="67" spans="1:9" x14ac:dyDescent="0.25">
      <c r="A67">
        <v>64</v>
      </c>
      <c r="B67" t="s">
        <v>132</v>
      </c>
      <c r="C67">
        <v>12</v>
      </c>
      <c r="D67" t="s">
        <v>198</v>
      </c>
      <c r="E67" t="s">
        <v>133</v>
      </c>
      <c r="F67">
        <v>33.25</v>
      </c>
      <c r="G67">
        <v>22</v>
      </c>
      <c r="H67" t="b">
        <v>0</v>
      </c>
      <c r="I67" s="1">
        <v>45944</v>
      </c>
    </row>
    <row r="68" spans="1:9" x14ac:dyDescent="0.25">
      <c r="A68">
        <v>65</v>
      </c>
      <c r="B68" t="s">
        <v>134</v>
      </c>
      <c r="C68">
        <v>2</v>
      </c>
      <c r="D68" t="s">
        <v>195</v>
      </c>
      <c r="E68" t="s">
        <v>135</v>
      </c>
      <c r="F68">
        <v>21.05</v>
      </c>
      <c r="G68">
        <v>76</v>
      </c>
      <c r="H68" t="b">
        <v>0</v>
      </c>
      <c r="I68" s="1">
        <v>45715</v>
      </c>
    </row>
    <row r="69" spans="1:9" x14ac:dyDescent="0.25">
      <c r="A69">
        <v>66</v>
      </c>
      <c r="B69" t="s">
        <v>136</v>
      </c>
      <c r="C69">
        <v>2</v>
      </c>
      <c r="D69" t="s">
        <v>195</v>
      </c>
      <c r="E69" t="s">
        <v>137</v>
      </c>
      <c r="F69">
        <v>17</v>
      </c>
      <c r="G69">
        <v>4</v>
      </c>
      <c r="H69" t="b">
        <v>0</v>
      </c>
      <c r="I69" s="1">
        <v>46008</v>
      </c>
    </row>
    <row r="70" spans="1:9" x14ac:dyDescent="0.25">
      <c r="A70">
        <v>67</v>
      </c>
      <c r="B70" t="s">
        <v>138</v>
      </c>
      <c r="C70">
        <v>16</v>
      </c>
      <c r="D70" t="s">
        <v>194</v>
      </c>
      <c r="E70" t="s">
        <v>12</v>
      </c>
      <c r="F70">
        <v>14</v>
      </c>
      <c r="G70">
        <v>52</v>
      </c>
      <c r="H70" t="b">
        <v>0</v>
      </c>
      <c r="I70" s="1">
        <v>45715</v>
      </c>
    </row>
    <row r="71" spans="1:9" x14ac:dyDescent="0.25">
      <c r="A71">
        <v>68</v>
      </c>
      <c r="B71" t="s">
        <v>139</v>
      </c>
      <c r="C71">
        <v>8</v>
      </c>
      <c r="D71" t="s">
        <v>196</v>
      </c>
      <c r="E71" t="s">
        <v>140</v>
      </c>
      <c r="F71">
        <v>12.5</v>
      </c>
      <c r="G71">
        <v>6</v>
      </c>
      <c r="H71" t="b">
        <v>0</v>
      </c>
      <c r="I71" s="1">
        <v>45695</v>
      </c>
    </row>
    <row r="72" spans="1:9" x14ac:dyDescent="0.25">
      <c r="A72">
        <v>69</v>
      </c>
      <c r="B72" t="s">
        <v>141</v>
      </c>
      <c r="C72">
        <v>15</v>
      </c>
      <c r="D72" t="s">
        <v>197</v>
      </c>
      <c r="E72" t="s">
        <v>142</v>
      </c>
      <c r="F72">
        <v>36</v>
      </c>
      <c r="G72">
        <v>26</v>
      </c>
      <c r="H72" t="b">
        <v>0</v>
      </c>
      <c r="I72" s="1">
        <v>45827</v>
      </c>
    </row>
    <row r="73" spans="1:9" x14ac:dyDescent="0.25">
      <c r="A73">
        <v>70</v>
      </c>
      <c r="B73" t="s">
        <v>143</v>
      </c>
      <c r="C73">
        <v>7</v>
      </c>
      <c r="D73" t="s">
        <v>194</v>
      </c>
      <c r="E73" t="s">
        <v>144</v>
      </c>
      <c r="F73">
        <v>15</v>
      </c>
      <c r="G73">
        <v>15</v>
      </c>
      <c r="H73" t="b">
        <v>0</v>
      </c>
      <c r="I73" s="1">
        <v>45827</v>
      </c>
    </row>
    <row r="74" spans="1:9" x14ac:dyDescent="0.25">
      <c r="A74">
        <v>71</v>
      </c>
      <c r="B74" t="s">
        <v>145</v>
      </c>
      <c r="C74">
        <v>15</v>
      </c>
      <c r="D74" t="s">
        <v>197</v>
      </c>
      <c r="E74" t="s">
        <v>32</v>
      </c>
      <c r="F74">
        <v>21.5</v>
      </c>
      <c r="G74">
        <v>26</v>
      </c>
      <c r="H74" t="b">
        <v>0</v>
      </c>
      <c r="I74" s="1">
        <v>46004</v>
      </c>
    </row>
    <row r="75" spans="1:9" x14ac:dyDescent="0.25">
      <c r="A75">
        <v>72</v>
      </c>
      <c r="B75" t="s">
        <v>146</v>
      </c>
      <c r="C75">
        <v>14</v>
      </c>
      <c r="D75" t="s">
        <v>197</v>
      </c>
      <c r="E75" t="s">
        <v>72</v>
      </c>
      <c r="F75">
        <v>34.799999999999997</v>
      </c>
      <c r="G75">
        <v>14</v>
      </c>
      <c r="H75" t="b">
        <v>0</v>
      </c>
      <c r="I75" s="1">
        <v>45717</v>
      </c>
    </row>
    <row r="76" spans="1:9" x14ac:dyDescent="0.25">
      <c r="A76">
        <v>73</v>
      </c>
      <c r="B76" t="s">
        <v>147</v>
      </c>
      <c r="C76">
        <v>17</v>
      </c>
      <c r="D76" t="s">
        <v>200</v>
      </c>
      <c r="E76" t="s">
        <v>148</v>
      </c>
      <c r="F76">
        <v>15</v>
      </c>
      <c r="G76">
        <v>101</v>
      </c>
      <c r="H76" t="b">
        <v>0</v>
      </c>
      <c r="I76" s="1">
        <v>45683</v>
      </c>
    </row>
    <row r="77" spans="1:9" x14ac:dyDescent="0.25">
      <c r="A77">
        <v>74</v>
      </c>
      <c r="B77" t="s">
        <v>149</v>
      </c>
      <c r="C77">
        <v>4</v>
      </c>
      <c r="D77" t="s">
        <v>201</v>
      </c>
      <c r="E77" t="s">
        <v>123</v>
      </c>
      <c r="F77">
        <v>10</v>
      </c>
      <c r="G77">
        <v>4</v>
      </c>
      <c r="H77" t="b">
        <v>0</v>
      </c>
      <c r="I77" s="1">
        <v>45904</v>
      </c>
    </row>
    <row r="78" spans="1:9" x14ac:dyDescent="0.25">
      <c r="A78">
        <v>75</v>
      </c>
      <c r="B78" t="s">
        <v>150</v>
      </c>
      <c r="C78">
        <v>12</v>
      </c>
      <c r="D78" t="s">
        <v>194</v>
      </c>
      <c r="E78" t="s">
        <v>151</v>
      </c>
      <c r="F78">
        <v>7.75</v>
      </c>
      <c r="G78">
        <v>125</v>
      </c>
      <c r="H78" t="b">
        <v>0</v>
      </c>
      <c r="I78" s="1">
        <v>45896</v>
      </c>
    </row>
    <row r="79" spans="1:9" x14ac:dyDescent="0.25">
      <c r="A79">
        <v>76</v>
      </c>
      <c r="B79" t="s">
        <v>152</v>
      </c>
      <c r="C79">
        <v>23</v>
      </c>
      <c r="D79" t="s">
        <v>194</v>
      </c>
      <c r="E79" t="s">
        <v>153</v>
      </c>
      <c r="F79">
        <v>18</v>
      </c>
      <c r="G79">
        <v>57</v>
      </c>
      <c r="H79" t="b">
        <v>0</v>
      </c>
      <c r="I79" s="1">
        <v>45704</v>
      </c>
    </row>
    <row r="80" spans="1:9" x14ac:dyDescent="0.25">
      <c r="A80">
        <v>77</v>
      </c>
      <c r="B80" t="s">
        <v>154</v>
      </c>
      <c r="C80">
        <v>12</v>
      </c>
      <c r="D80" t="s">
        <v>195</v>
      </c>
      <c r="E80" t="s">
        <v>155</v>
      </c>
      <c r="F80">
        <v>13</v>
      </c>
      <c r="G80">
        <v>32</v>
      </c>
      <c r="H80" t="b">
        <v>0</v>
      </c>
      <c r="I80" s="1">
        <v>45883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B86D-680A-49A8-8D9D-3C6BCBF02817}">
  <dimension ref="A1:AC80"/>
  <sheetViews>
    <sheetView workbookViewId="0">
      <selection activeCell="U14" sqref="U14"/>
    </sheetView>
  </sheetViews>
  <sheetFormatPr baseColWidth="10" defaultColWidth="9.140625" defaultRowHeight="15" x14ac:dyDescent="0.25"/>
  <cols>
    <col min="9" max="9" width="10.5703125" bestFit="1" customWidth="1"/>
    <col min="12" max="12" width="22.5703125" customWidth="1"/>
    <col min="19" max="19" width="10.140625" style="1" bestFit="1" customWidth="1"/>
    <col min="29" max="29" width="10.140625" style="1" bestFit="1" customWidth="1"/>
  </cols>
  <sheetData>
    <row r="1" spans="1:29" ht="35.2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</row>
    <row r="2" spans="1:29" ht="21" x14ac:dyDescent="0.35">
      <c r="A2" s="4"/>
      <c r="B2" s="4"/>
      <c r="C2" s="4"/>
      <c r="D2" s="4"/>
      <c r="E2" s="4"/>
      <c r="F2" s="4"/>
      <c r="G2" s="4"/>
      <c r="H2" s="4"/>
      <c r="I2" s="4"/>
      <c r="K2" s="28" t="s">
        <v>205</v>
      </c>
      <c r="L2" s="28"/>
      <c r="M2" s="28"/>
      <c r="N2" s="28"/>
      <c r="O2" s="28"/>
      <c r="P2" s="28"/>
      <c r="Q2" s="28"/>
      <c r="R2" s="28"/>
      <c r="S2" s="28"/>
    </row>
    <row r="3" spans="1:29" ht="20.25" thickBot="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  <c r="K3" s="29" t="e">
        <f ca="1">_xlfn.FORMULATEXT(K4)</f>
        <v>#N/A</v>
      </c>
      <c r="L3" s="29"/>
      <c r="M3" s="29"/>
      <c r="N3" s="29"/>
      <c r="O3" s="29"/>
      <c r="P3" s="29"/>
      <c r="Q3" s="29"/>
      <c r="R3" s="29"/>
      <c r="S3" s="30"/>
    </row>
    <row r="4" spans="1:29" ht="15.75" thickTop="1" x14ac:dyDescent="0.25">
      <c r="B4" t="s">
        <v>9</v>
      </c>
      <c r="C4">
        <v>1</v>
      </c>
      <c r="D4" t="s">
        <v>194</v>
      </c>
      <c r="E4" t="s">
        <v>10</v>
      </c>
      <c r="F4">
        <v>18</v>
      </c>
      <c r="G4">
        <v>39</v>
      </c>
      <c r="H4" t="b">
        <v>0</v>
      </c>
      <c r="I4" s="1">
        <v>45953</v>
      </c>
    </row>
    <row r="5" spans="1:29" x14ac:dyDescent="0.25">
      <c r="A5">
        <v>2</v>
      </c>
      <c r="B5" t="s">
        <v>11</v>
      </c>
      <c r="C5">
        <v>1</v>
      </c>
      <c r="D5" t="s">
        <v>194</v>
      </c>
      <c r="E5" t="s">
        <v>12</v>
      </c>
      <c r="F5">
        <v>19</v>
      </c>
      <c r="G5">
        <v>17</v>
      </c>
      <c r="H5" t="b">
        <v>0</v>
      </c>
      <c r="I5" s="1">
        <v>46007</v>
      </c>
    </row>
    <row r="6" spans="1:29" x14ac:dyDescent="0.25">
      <c r="A6">
        <v>3</v>
      </c>
      <c r="B6" t="s">
        <v>13</v>
      </c>
      <c r="C6">
        <v>1</v>
      </c>
      <c r="D6" t="s">
        <v>195</v>
      </c>
      <c r="E6" t="s">
        <v>14</v>
      </c>
      <c r="F6">
        <v>10</v>
      </c>
      <c r="G6">
        <v>13</v>
      </c>
      <c r="H6" t="b">
        <v>0</v>
      </c>
      <c r="I6" s="1">
        <v>45752</v>
      </c>
    </row>
    <row r="7" spans="1:29" x14ac:dyDescent="0.25">
      <c r="A7">
        <v>4</v>
      </c>
      <c r="B7" t="s">
        <v>15</v>
      </c>
      <c r="C7">
        <v>2</v>
      </c>
      <c r="D7" t="s">
        <v>195</v>
      </c>
      <c r="E7" t="s">
        <v>16</v>
      </c>
      <c r="F7">
        <v>22</v>
      </c>
      <c r="G7">
        <v>53</v>
      </c>
      <c r="H7" t="b">
        <v>0</v>
      </c>
      <c r="I7" s="1">
        <v>45659</v>
      </c>
    </row>
    <row r="8" spans="1:29" x14ac:dyDescent="0.25">
      <c r="A8">
        <v>5</v>
      </c>
      <c r="B8" t="s">
        <v>17</v>
      </c>
      <c r="C8">
        <v>2</v>
      </c>
      <c r="D8" t="s">
        <v>195</v>
      </c>
      <c r="E8" t="s">
        <v>18</v>
      </c>
      <c r="F8">
        <v>21.35</v>
      </c>
      <c r="G8">
        <v>0</v>
      </c>
      <c r="H8" t="b">
        <v>1</v>
      </c>
      <c r="I8" s="1">
        <v>46002</v>
      </c>
    </row>
    <row r="9" spans="1:29" x14ac:dyDescent="0.25">
      <c r="A9">
        <v>6</v>
      </c>
      <c r="B9" t="s">
        <v>19</v>
      </c>
      <c r="C9">
        <v>3</v>
      </c>
      <c r="D9" t="s">
        <v>195</v>
      </c>
      <c r="E9" t="s">
        <v>20</v>
      </c>
      <c r="F9">
        <v>25</v>
      </c>
      <c r="G9">
        <v>120</v>
      </c>
      <c r="H9" t="b">
        <v>0</v>
      </c>
      <c r="I9" s="1">
        <v>45869</v>
      </c>
    </row>
    <row r="10" spans="1:29" x14ac:dyDescent="0.25">
      <c r="A10">
        <v>7</v>
      </c>
      <c r="B10" t="s">
        <v>21</v>
      </c>
      <c r="C10">
        <v>3</v>
      </c>
      <c r="D10" t="s">
        <v>201</v>
      </c>
      <c r="E10" t="s">
        <v>22</v>
      </c>
      <c r="F10">
        <v>30</v>
      </c>
      <c r="G10">
        <v>15</v>
      </c>
      <c r="H10" t="b">
        <v>0</v>
      </c>
      <c r="I10" s="1">
        <v>45995</v>
      </c>
    </row>
    <row r="11" spans="1:29" x14ac:dyDescent="0.25">
      <c r="A11">
        <v>8</v>
      </c>
      <c r="B11" t="s">
        <v>23</v>
      </c>
      <c r="C11">
        <v>3</v>
      </c>
      <c r="D11" t="s">
        <v>195</v>
      </c>
      <c r="E11" t="s">
        <v>24</v>
      </c>
      <c r="F11">
        <v>40</v>
      </c>
      <c r="G11">
        <v>6</v>
      </c>
      <c r="H11" t="b">
        <v>0</v>
      </c>
      <c r="I11" s="1">
        <v>45857</v>
      </c>
    </row>
    <row r="12" spans="1:29" ht="21" x14ac:dyDescent="0.35">
      <c r="A12">
        <v>9</v>
      </c>
      <c r="B12" t="s">
        <v>25</v>
      </c>
      <c r="C12">
        <v>4</v>
      </c>
      <c r="D12" t="s">
        <v>199</v>
      </c>
      <c r="E12" t="s">
        <v>26</v>
      </c>
      <c r="F12">
        <v>97</v>
      </c>
      <c r="G12">
        <v>29</v>
      </c>
      <c r="H12" t="b">
        <v>1</v>
      </c>
      <c r="I12" s="1">
        <v>45663</v>
      </c>
      <c r="K12" s="28" t="s">
        <v>206</v>
      </c>
      <c r="L12" s="28"/>
      <c r="M12" s="28"/>
      <c r="N12" s="28"/>
      <c r="O12" s="28"/>
      <c r="P12" s="28"/>
      <c r="Q12" s="28"/>
      <c r="R12" s="28"/>
      <c r="S12" s="28"/>
      <c r="U12" s="31" t="s">
        <v>207</v>
      </c>
      <c r="V12" s="31"/>
      <c r="W12" s="31"/>
      <c r="X12" s="31"/>
      <c r="Y12" s="31"/>
      <c r="Z12" s="31"/>
      <c r="AA12" s="31"/>
      <c r="AB12" s="31"/>
      <c r="AC12" s="31"/>
    </row>
    <row r="13" spans="1:29" ht="20.25" thickBot="1" x14ac:dyDescent="0.35">
      <c r="A13">
        <v>10</v>
      </c>
      <c r="B13" t="s">
        <v>27</v>
      </c>
      <c r="C13">
        <v>4</v>
      </c>
      <c r="D13" t="s">
        <v>200</v>
      </c>
      <c r="E13" t="s">
        <v>28</v>
      </c>
      <c r="F13">
        <v>31</v>
      </c>
      <c r="G13">
        <v>31</v>
      </c>
      <c r="H13" t="b">
        <v>0</v>
      </c>
      <c r="I13" s="1">
        <v>45757</v>
      </c>
      <c r="K13" s="29" t="e">
        <f ca="1">_xlfn.FORMULATEXT(K14)</f>
        <v>#N/A</v>
      </c>
      <c r="L13" s="29"/>
      <c r="M13" s="29"/>
      <c r="N13" s="29"/>
      <c r="O13" s="29"/>
      <c r="P13" s="29"/>
      <c r="Q13" s="29"/>
      <c r="R13" s="29"/>
      <c r="S13" s="29"/>
      <c r="U13" s="29" t="e">
        <f ca="1">_xlfn.FORMULATEXT(U14)</f>
        <v>#N/A</v>
      </c>
      <c r="V13" s="29"/>
      <c r="W13" s="29"/>
      <c r="X13" s="29"/>
      <c r="Y13" s="29"/>
      <c r="Z13" s="29"/>
      <c r="AA13" s="29"/>
      <c r="AB13" s="29"/>
    </row>
    <row r="14" spans="1:29" ht="15.75" thickTop="1" x14ac:dyDescent="0.25">
      <c r="A14">
        <v>11</v>
      </c>
      <c r="B14" t="s">
        <v>29</v>
      </c>
      <c r="C14">
        <v>5</v>
      </c>
      <c r="D14" t="s">
        <v>197</v>
      </c>
      <c r="E14" t="s">
        <v>30</v>
      </c>
      <c r="F14">
        <v>21</v>
      </c>
      <c r="G14">
        <v>22</v>
      </c>
      <c r="H14" t="b">
        <v>0</v>
      </c>
      <c r="I14" s="1">
        <v>45976</v>
      </c>
    </row>
    <row r="15" spans="1:29" x14ac:dyDescent="0.25">
      <c r="A15">
        <v>12</v>
      </c>
      <c r="B15" t="s">
        <v>31</v>
      </c>
      <c r="C15">
        <v>5</v>
      </c>
      <c r="D15" t="s">
        <v>197</v>
      </c>
      <c r="E15" t="s">
        <v>32</v>
      </c>
      <c r="F15">
        <v>38</v>
      </c>
      <c r="G15">
        <v>86</v>
      </c>
      <c r="H15" t="b">
        <v>0</v>
      </c>
      <c r="I15" s="1">
        <v>45894</v>
      </c>
    </row>
    <row r="16" spans="1:29" x14ac:dyDescent="0.25">
      <c r="A16">
        <v>13</v>
      </c>
      <c r="B16" t="s">
        <v>33</v>
      </c>
      <c r="C16">
        <v>6</v>
      </c>
      <c r="D16" t="s">
        <v>200</v>
      </c>
      <c r="E16" t="s">
        <v>34</v>
      </c>
      <c r="F16">
        <v>6</v>
      </c>
      <c r="G16">
        <v>24</v>
      </c>
      <c r="H16" t="b">
        <v>0</v>
      </c>
      <c r="I16" s="1">
        <v>45936</v>
      </c>
    </row>
    <row r="17" spans="1:9" x14ac:dyDescent="0.25">
      <c r="A17">
        <v>14</v>
      </c>
      <c r="B17" t="s">
        <v>35</v>
      </c>
      <c r="C17">
        <v>6</v>
      </c>
      <c r="D17" t="s">
        <v>201</v>
      </c>
      <c r="E17" t="s">
        <v>36</v>
      </c>
      <c r="F17">
        <v>23.25</v>
      </c>
      <c r="G17">
        <v>35</v>
      </c>
      <c r="H17" t="b">
        <v>0</v>
      </c>
      <c r="I17" s="1">
        <v>45994</v>
      </c>
    </row>
    <row r="18" spans="1:9" x14ac:dyDescent="0.25">
      <c r="A18">
        <v>15</v>
      </c>
      <c r="B18" t="s">
        <v>37</v>
      </c>
      <c r="C18">
        <v>6</v>
      </c>
      <c r="D18" t="s">
        <v>195</v>
      </c>
      <c r="E18" t="s">
        <v>38</v>
      </c>
      <c r="F18">
        <v>15.5</v>
      </c>
      <c r="G18">
        <v>39</v>
      </c>
      <c r="H18" t="b">
        <v>0</v>
      </c>
      <c r="I18" s="1">
        <v>45910</v>
      </c>
    </row>
    <row r="19" spans="1:9" x14ac:dyDescent="0.25">
      <c r="A19">
        <v>16</v>
      </c>
      <c r="B19" t="s">
        <v>39</v>
      </c>
      <c r="C19">
        <v>7</v>
      </c>
      <c r="D19" t="s">
        <v>196</v>
      </c>
      <c r="E19" t="s">
        <v>40</v>
      </c>
      <c r="F19">
        <v>17.45</v>
      </c>
      <c r="G19">
        <v>29</v>
      </c>
      <c r="H19" t="b">
        <v>0</v>
      </c>
      <c r="I19" s="1">
        <v>45722</v>
      </c>
    </row>
    <row r="20" spans="1:9" x14ac:dyDescent="0.25">
      <c r="A20">
        <v>17</v>
      </c>
      <c r="B20" t="s">
        <v>41</v>
      </c>
      <c r="C20">
        <v>7</v>
      </c>
      <c r="D20" t="s">
        <v>199</v>
      </c>
      <c r="E20" t="s">
        <v>42</v>
      </c>
      <c r="F20">
        <v>39</v>
      </c>
      <c r="G20">
        <v>0</v>
      </c>
      <c r="H20" t="b">
        <v>1</v>
      </c>
      <c r="I20" s="1">
        <v>45884</v>
      </c>
    </row>
    <row r="21" spans="1:9" x14ac:dyDescent="0.25">
      <c r="A21">
        <v>18</v>
      </c>
      <c r="B21" t="s">
        <v>43</v>
      </c>
      <c r="C21">
        <v>7</v>
      </c>
      <c r="D21" t="s">
        <v>200</v>
      </c>
      <c r="E21" t="s">
        <v>44</v>
      </c>
      <c r="F21">
        <v>62.5</v>
      </c>
      <c r="G21">
        <v>42</v>
      </c>
      <c r="H21" t="b">
        <v>0</v>
      </c>
      <c r="I21" s="1">
        <v>45679</v>
      </c>
    </row>
    <row r="22" spans="1:9" x14ac:dyDescent="0.25">
      <c r="A22">
        <v>19</v>
      </c>
      <c r="B22" t="s">
        <v>45</v>
      </c>
      <c r="C22">
        <v>8</v>
      </c>
      <c r="D22" t="s">
        <v>196</v>
      </c>
      <c r="E22" t="s">
        <v>46</v>
      </c>
      <c r="F22">
        <v>9.1999999999999993</v>
      </c>
      <c r="G22">
        <v>25</v>
      </c>
      <c r="H22" t="b">
        <v>0</v>
      </c>
      <c r="I22" s="1">
        <v>45739</v>
      </c>
    </row>
    <row r="23" spans="1:9" x14ac:dyDescent="0.25">
      <c r="A23">
        <v>20</v>
      </c>
      <c r="B23" t="s">
        <v>47</v>
      </c>
      <c r="C23">
        <v>8</v>
      </c>
      <c r="D23" t="s">
        <v>196</v>
      </c>
      <c r="E23" t="s">
        <v>48</v>
      </c>
      <c r="F23">
        <v>81</v>
      </c>
      <c r="G23">
        <v>40</v>
      </c>
      <c r="H23" t="b">
        <v>0</v>
      </c>
      <c r="I23" s="1">
        <v>45914</v>
      </c>
    </row>
    <row r="24" spans="1:9" x14ac:dyDescent="0.25">
      <c r="A24">
        <v>21</v>
      </c>
      <c r="B24" t="s">
        <v>49</v>
      </c>
      <c r="C24">
        <v>8</v>
      </c>
      <c r="D24" t="s">
        <v>196</v>
      </c>
      <c r="E24" t="s">
        <v>50</v>
      </c>
      <c r="F24">
        <v>10</v>
      </c>
      <c r="G24">
        <v>3</v>
      </c>
      <c r="H24" t="b">
        <v>0</v>
      </c>
      <c r="I24" s="1">
        <v>45844</v>
      </c>
    </row>
    <row r="25" spans="1:9" x14ac:dyDescent="0.25">
      <c r="A25">
        <v>22</v>
      </c>
      <c r="B25" t="s">
        <v>51</v>
      </c>
      <c r="C25">
        <v>9</v>
      </c>
      <c r="D25" t="s">
        <v>198</v>
      </c>
      <c r="E25" t="s">
        <v>52</v>
      </c>
      <c r="F25">
        <v>21</v>
      </c>
      <c r="G25">
        <v>104</v>
      </c>
      <c r="H25" t="b">
        <v>0</v>
      </c>
      <c r="I25" s="1">
        <v>45724</v>
      </c>
    </row>
    <row r="26" spans="1:9" x14ac:dyDescent="0.25">
      <c r="A26">
        <v>23</v>
      </c>
      <c r="B26" t="s">
        <v>53</v>
      </c>
      <c r="C26">
        <v>9</v>
      </c>
      <c r="D26" t="s">
        <v>198</v>
      </c>
      <c r="E26" t="s">
        <v>54</v>
      </c>
      <c r="F26">
        <v>9</v>
      </c>
      <c r="G26">
        <v>61</v>
      </c>
      <c r="H26" t="b">
        <v>0</v>
      </c>
      <c r="I26" s="1">
        <v>46011</v>
      </c>
    </row>
    <row r="27" spans="1:9" x14ac:dyDescent="0.25">
      <c r="A27">
        <v>24</v>
      </c>
      <c r="B27" t="s">
        <v>55</v>
      </c>
      <c r="C27">
        <v>10</v>
      </c>
      <c r="D27" t="s">
        <v>194</v>
      </c>
      <c r="E27" t="s">
        <v>56</v>
      </c>
      <c r="F27">
        <v>4.5</v>
      </c>
      <c r="G27">
        <v>20</v>
      </c>
      <c r="H27" t="b">
        <v>1</v>
      </c>
      <c r="I27" s="1">
        <v>46018</v>
      </c>
    </row>
    <row r="28" spans="1:9" x14ac:dyDescent="0.25">
      <c r="A28">
        <v>25</v>
      </c>
      <c r="B28" t="s">
        <v>57</v>
      </c>
      <c r="C28">
        <v>11</v>
      </c>
      <c r="D28" t="s">
        <v>196</v>
      </c>
      <c r="E28" t="s">
        <v>58</v>
      </c>
      <c r="F28">
        <v>14</v>
      </c>
      <c r="G28">
        <v>76</v>
      </c>
      <c r="H28" t="b">
        <v>0</v>
      </c>
      <c r="I28" s="1">
        <v>45692</v>
      </c>
    </row>
    <row r="29" spans="1:9" x14ac:dyDescent="0.25">
      <c r="A29">
        <v>26</v>
      </c>
      <c r="B29" t="s">
        <v>59</v>
      </c>
      <c r="C29">
        <v>11</v>
      </c>
      <c r="D29" t="s">
        <v>196</v>
      </c>
      <c r="E29" t="s">
        <v>60</v>
      </c>
      <c r="F29">
        <v>31.23</v>
      </c>
      <c r="G29">
        <v>15</v>
      </c>
      <c r="H29" t="b">
        <v>0</v>
      </c>
      <c r="I29" s="1">
        <v>45911</v>
      </c>
    </row>
    <row r="30" spans="1:9" x14ac:dyDescent="0.25">
      <c r="A30">
        <v>27</v>
      </c>
      <c r="B30" t="s">
        <v>61</v>
      </c>
      <c r="C30">
        <v>11</v>
      </c>
      <c r="D30" t="s">
        <v>196</v>
      </c>
      <c r="E30" t="s">
        <v>62</v>
      </c>
      <c r="F30">
        <v>43.9</v>
      </c>
      <c r="G30">
        <v>49</v>
      </c>
      <c r="H30" t="b">
        <v>0</v>
      </c>
      <c r="I30" s="1">
        <v>45784</v>
      </c>
    </row>
    <row r="31" spans="1:9" x14ac:dyDescent="0.25">
      <c r="A31">
        <v>28</v>
      </c>
      <c r="B31" t="s">
        <v>63</v>
      </c>
      <c r="C31">
        <v>12</v>
      </c>
      <c r="D31" t="s">
        <v>201</v>
      </c>
      <c r="E31" t="s">
        <v>64</v>
      </c>
      <c r="F31">
        <v>45.6</v>
      </c>
      <c r="G31">
        <v>26</v>
      </c>
      <c r="H31" t="b">
        <v>1</v>
      </c>
      <c r="I31" s="1">
        <v>45731</v>
      </c>
    </row>
    <row r="32" spans="1:9" x14ac:dyDescent="0.25">
      <c r="A32">
        <v>29</v>
      </c>
      <c r="B32" t="s">
        <v>65</v>
      </c>
      <c r="C32">
        <v>12</v>
      </c>
      <c r="D32" t="s">
        <v>199</v>
      </c>
      <c r="E32" t="s">
        <v>66</v>
      </c>
      <c r="F32">
        <v>123.79</v>
      </c>
      <c r="G32">
        <v>0</v>
      </c>
      <c r="H32" t="b">
        <v>1</v>
      </c>
      <c r="I32" s="1">
        <v>45943</v>
      </c>
    </row>
    <row r="33" spans="1:9" x14ac:dyDescent="0.25">
      <c r="A33">
        <v>30</v>
      </c>
      <c r="B33" t="s">
        <v>67</v>
      </c>
      <c r="C33">
        <v>13</v>
      </c>
      <c r="D33" t="s">
        <v>200</v>
      </c>
      <c r="E33" t="s">
        <v>68</v>
      </c>
      <c r="F33">
        <v>25.89</v>
      </c>
      <c r="G33">
        <v>10</v>
      </c>
      <c r="H33" t="b">
        <v>0</v>
      </c>
      <c r="I33" s="1">
        <v>45723</v>
      </c>
    </row>
    <row r="34" spans="1:9" x14ac:dyDescent="0.25">
      <c r="A34">
        <v>31</v>
      </c>
      <c r="B34" t="s">
        <v>69</v>
      </c>
      <c r="C34">
        <v>14</v>
      </c>
      <c r="D34" t="s">
        <v>197</v>
      </c>
      <c r="E34" t="s">
        <v>70</v>
      </c>
      <c r="F34">
        <v>12.5</v>
      </c>
      <c r="G34">
        <v>0</v>
      </c>
      <c r="H34" t="b">
        <v>0</v>
      </c>
      <c r="I34" s="1">
        <v>45791</v>
      </c>
    </row>
    <row r="35" spans="1:9" x14ac:dyDescent="0.25">
      <c r="A35">
        <v>32</v>
      </c>
      <c r="B35" t="s">
        <v>71</v>
      </c>
      <c r="C35">
        <v>14</v>
      </c>
      <c r="D35" t="s">
        <v>197</v>
      </c>
      <c r="E35" t="s">
        <v>72</v>
      </c>
      <c r="F35">
        <v>32</v>
      </c>
      <c r="G35">
        <v>9</v>
      </c>
      <c r="H35" t="b">
        <v>0</v>
      </c>
      <c r="I35" s="1">
        <v>46011</v>
      </c>
    </row>
    <row r="36" spans="1:9" x14ac:dyDescent="0.25">
      <c r="A36">
        <v>33</v>
      </c>
      <c r="B36" t="s">
        <v>73</v>
      </c>
      <c r="C36">
        <v>15</v>
      </c>
      <c r="D36" t="s">
        <v>197</v>
      </c>
      <c r="E36" t="s">
        <v>74</v>
      </c>
      <c r="F36">
        <v>2.5</v>
      </c>
      <c r="G36">
        <v>112</v>
      </c>
      <c r="H36" t="b">
        <v>0</v>
      </c>
      <c r="I36" s="1">
        <v>45804</v>
      </c>
    </row>
    <row r="37" spans="1:9" x14ac:dyDescent="0.25">
      <c r="A37">
        <v>34</v>
      </c>
      <c r="B37" t="s">
        <v>75</v>
      </c>
      <c r="C37">
        <v>16</v>
      </c>
      <c r="D37" t="s">
        <v>194</v>
      </c>
      <c r="E37" t="s">
        <v>12</v>
      </c>
      <c r="F37">
        <v>14</v>
      </c>
      <c r="G37">
        <v>111</v>
      </c>
      <c r="H37" t="b">
        <v>0</v>
      </c>
      <c r="I37" s="1">
        <v>45723</v>
      </c>
    </row>
    <row r="38" spans="1:9" x14ac:dyDescent="0.25">
      <c r="A38">
        <v>35</v>
      </c>
      <c r="B38" t="s">
        <v>76</v>
      </c>
      <c r="C38">
        <v>16</v>
      </c>
      <c r="D38" t="s">
        <v>194</v>
      </c>
      <c r="E38" t="s">
        <v>12</v>
      </c>
      <c r="F38">
        <v>18</v>
      </c>
      <c r="G38">
        <v>20</v>
      </c>
      <c r="H38" t="b">
        <v>0</v>
      </c>
      <c r="I38" s="1">
        <v>45973</v>
      </c>
    </row>
    <row r="39" spans="1:9" x14ac:dyDescent="0.25">
      <c r="A39">
        <v>36</v>
      </c>
      <c r="B39" t="s">
        <v>77</v>
      </c>
      <c r="C39">
        <v>17</v>
      </c>
      <c r="D39" t="s">
        <v>200</v>
      </c>
      <c r="E39" t="s">
        <v>78</v>
      </c>
      <c r="F39">
        <v>19</v>
      </c>
      <c r="G39">
        <v>112</v>
      </c>
      <c r="H39" t="b">
        <v>0</v>
      </c>
      <c r="I39" s="1">
        <v>45990</v>
      </c>
    </row>
    <row r="40" spans="1:9" x14ac:dyDescent="0.25">
      <c r="A40">
        <v>37</v>
      </c>
      <c r="B40" t="s">
        <v>79</v>
      </c>
      <c r="C40">
        <v>17</v>
      </c>
      <c r="D40" t="s">
        <v>200</v>
      </c>
      <c r="E40" t="s">
        <v>80</v>
      </c>
      <c r="F40">
        <v>26</v>
      </c>
      <c r="G40">
        <v>11</v>
      </c>
      <c r="H40" t="b">
        <v>0</v>
      </c>
      <c r="I40" s="1">
        <v>45870</v>
      </c>
    </row>
    <row r="41" spans="1:9" x14ac:dyDescent="0.25">
      <c r="A41">
        <v>38</v>
      </c>
      <c r="B41" t="s">
        <v>81</v>
      </c>
      <c r="C41">
        <v>18</v>
      </c>
      <c r="D41" t="s">
        <v>194</v>
      </c>
      <c r="E41" t="s">
        <v>82</v>
      </c>
      <c r="F41">
        <v>263.5</v>
      </c>
      <c r="G41">
        <v>17</v>
      </c>
      <c r="H41" t="b">
        <v>0</v>
      </c>
      <c r="I41" s="1">
        <v>45841</v>
      </c>
    </row>
    <row r="42" spans="1:9" x14ac:dyDescent="0.25">
      <c r="A42">
        <v>39</v>
      </c>
      <c r="B42" t="s">
        <v>83</v>
      </c>
      <c r="C42">
        <v>18</v>
      </c>
      <c r="D42" t="s">
        <v>194</v>
      </c>
      <c r="E42" t="s">
        <v>84</v>
      </c>
      <c r="F42">
        <v>18</v>
      </c>
      <c r="G42">
        <v>69</v>
      </c>
      <c r="H42" t="b">
        <v>0</v>
      </c>
      <c r="I42" s="1">
        <v>45860</v>
      </c>
    </row>
    <row r="43" spans="1:9" x14ac:dyDescent="0.25">
      <c r="A43">
        <v>40</v>
      </c>
      <c r="B43" t="s">
        <v>85</v>
      </c>
      <c r="C43">
        <v>19</v>
      </c>
      <c r="D43" t="s">
        <v>200</v>
      </c>
      <c r="E43" t="s">
        <v>86</v>
      </c>
      <c r="F43">
        <v>18.399999999999999</v>
      </c>
      <c r="G43">
        <v>123</v>
      </c>
      <c r="H43" t="b">
        <v>0</v>
      </c>
      <c r="I43" s="1">
        <v>45681</v>
      </c>
    </row>
    <row r="44" spans="1:9" x14ac:dyDescent="0.25">
      <c r="A44">
        <v>41</v>
      </c>
      <c r="B44" t="s">
        <v>87</v>
      </c>
      <c r="C44">
        <v>19</v>
      </c>
      <c r="D44" t="s">
        <v>200</v>
      </c>
      <c r="E44" t="s">
        <v>88</v>
      </c>
      <c r="F44">
        <v>9.65</v>
      </c>
      <c r="G44">
        <v>85</v>
      </c>
      <c r="H44" t="b">
        <v>0</v>
      </c>
      <c r="I44" s="1">
        <v>45856</v>
      </c>
    </row>
    <row r="45" spans="1:9" x14ac:dyDescent="0.25">
      <c r="A45">
        <v>42</v>
      </c>
      <c r="B45" t="s">
        <v>89</v>
      </c>
      <c r="C45">
        <v>20</v>
      </c>
      <c r="D45" t="s">
        <v>198</v>
      </c>
      <c r="E45" t="s">
        <v>90</v>
      </c>
      <c r="F45">
        <v>14</v>
      </c>
      <c r="G45">
        <v>26</v>
      </c>
      <c r="H45" t="b">
        <v>1</v>
      </c>
      <c r="I45" s="1">
        <v>45974</v>
      </c>
    </row>
    <row r="46" spans="1:9" x14ac:dyDescent="0.25">
      <c r="A46">
        <v>43</v>
      </c>
      <c r="B46" t="s">
        <v>91</v>
      </c>
      <c r="C46">
        <v>20</v>
      </c>
      <c r="D46" t="s">
        <v>194</v>
      </c>
      <c r="E46" t="s">
        <v>92</v>
      </c>
      <c r="F46">
        <v>46</v>
      </c>
      <c r="G46">
        <v>17</v>
      </c>
      <c r="H46" t="b">
        <v>0</v>
      </c>
      <c r="I46" s="1">
        <v>45793</v>
      </c>
    </row>
    <row r="47" spans="1:9" x14ac:dyDescent="0.25">
      <c r="A47">
        <v>44</v>
      </c>
      <c r="B47" t="s">
        <v>93</v>
      </c>
      <c r="C47">
        <v>20</v>
      </c>
      <c r="D47" t="s">
        <v>195</v>
      </c>
      <c r="E47" t="s">
        <v>94</v>
      </c>
      <c r="F47">
        <v>19.45</v>
      </c>
      <c r="G47">
        <v>27</v>
      </c>
      <c r="H47" t="b">
        <v>0</v>
      </c>
      <c r="I47" s="1">
        <v>46010</v>
      </c>
    </row>
    <row r="48" spans="1:9" x14ac:dyDescent="0.25">
      <c r="A48">
        <v>45</v>
      </c>
      <c r="B48" t="s">
        <v>95</v>
      </c>
      <c r="C48">
        <v>21</v>
      </c>
      <c r="D48" t="s">
        <v>200</v>
      </c>
      <c r="E48" t="s">
        <v>96</v>
      </c>
      <c r="F48">
        <v>9.5</v>
      </c>
      <c r="G48">
        <v>5</v>
      </c>
      <c r="H48" t="b">
        <v>0</v>
      </c>
      <c r="I48" s="1">
        <v>45732</v>
      </c>
    </row>
    <row r="49" spans="1:9" x14ac:dyDescent="0.25">
      <c r="A49">
        <v>46</v>
      </c>
      <c r="B49" t="s">
        <v>97</v>
      </c>
      <c r="C49">
        <v>21</v>
      </c>
      <c r="D49" t="s">
        <v>200</v>
      </c>
      <c r="E49" t="s">
        <v>98</v>
      </c>
      <c r="F49">
        <v>12</v>
      </c>
      <c r="G49">
        <v>95</v>
      </c>
      <c r="H49" t="b">
        <v>0</v>
      </c>
      <c r="I49" s="1">
        <v>45955</v>
      </c>
    </row>
    <row r="50" spans="1:9" x14ac:dyDescent="0.25">
      <c r="A50">
        <v>47</v>
      </c>
      <c r="B50" t="s">
        <v>99</v>
      </c>
      <c r="C50">
        <v>22</v>
      </c>
      <c r="D50" t="s">
        <v>196</v>
      </c>
      <c r="E50" t="s">
        <v>100</v>
      </c>
      <c r="F50">
        <v>9.5</v>
      </c>
      <c r="G50">
        <v>36</v>
      </c>
      <c r="H50" t="b">
        <v>0</v>
      </c>
      <c r="I50" s="1">
        <v>45985</v>
      </c>
    </row>
    <row r="51" spans="1:9" x14ac:dyDescent="0.25">
      <c r="A51">
        <v>48</v>
      </c>
      <c r="B51" t="s">
        <v>101</v>
      </c>
      <c r="C51">
        <v>22</v>
      </c>
      <c r="D51" t="s">
        <v>196</v>
      </c>
      <c r="E51" t="s">
        <v>102</v>
      </c>
      <c r="F51">
        <v>12.75</v>
      </c>
      <c r="G51">
        <v>15</v>
      </c>
      <c r="H51" t="b">
        <v>0</v>
      </c>
      <c r="I51" s="1">
        <v>45737</v>
      </c>
    </row>
    <row r="52" spans="1:9" x14ac:dyDescent="0.25">
      <c r="A52">
        <v>49</v>
      </c>
      <c r="B52" t="s">
        <v>103</v>
      </c>
      <c r="C52">
        <v>23</v>
      </c>
      <c r="D52" t="s">
        <v>196</v>
      </c>
      <c r="E52" t="s">
        <v>104</v>
      </c>
      <c r="F52">
        <v>20</v>
      </c>
      <c r="G52">
        <v>10</v>
      </c>
      <c r="H52" t="b">
        <v>0</v>
      </c>
      <c r="I52" s="1">
        <v>45768</v>
      </c>
    </row>
    <row r="53" spans="1:9" x14ac:dyDescent="0.25">
      <c r="A53">
        <v>50</v>
      </c>
      <c r="B53" t="s">
        <v>105</v>
      </c>
      <c r="C53">
        <v>23</v>
      </c>
      <c r="D53" t="s">
        <v>196</v>
      </c>
      <c r="E53" t="s">
        <v>106</v>
      </c>
      <c r="F53">
        <v>16.25</v>
      </c>
      <c r="G53">
        <v>65</v>
      </c>
      <c r="H53" t="b">
        <v>0</v>
      </c>
      <c r="I53" s="1">
        <v>45796</v>
      </c>
    </row>
    <row r="54" spans="1:9" x14ac:dyDescent="0.25">
      <c r="A54">
        <v>51</v>
      </c>
      <c r="B54" t="s">
        <v>107</v>
      </c>
      <c r="C54">
        <v>24</v>
      </c>
      <c r="D54" t="s">
        <v>201</v>
      </c>
      <c r="E54" t="s">
        <v>108</v>
      </c>
      <c r="F54">
        <v>53</v>
      </c>
      <c r="G54">
        <v>20</v>
      </c>
      <c r="H54" t="b">
        <v>0</v>
      </c>
      <c r="I54" s="1">
        <v>45968</v>
      </c>
    </row>
    <row r="55" spans="1:9" x14ac:dyDescent="0.25">
      <c r="A55">
        <v>52</v>
      </c>
      <c r="B55" t="s">
        <v>109</v>
      </c>
      <c r="C55">
        <v>24</v>
      </c>
      <c r="D55" t="s">
        <v>198</v>
      </c>
      <c r="E55" t="s">
        <v>110</v>
      </c>
      <c r="F55">
        <v>7</v>
      </c>
      <c r="G55">
        <v>38</v>
      </c>
      <c r="H55" t="b">
        <v>0</v>
      </c>
      <c r="I55" s="1">
        <v>45730</v>
      </c>
    </row>
    <row r="56" spans="1:9" x14ac:dyDescent="0.25">
      <c r="A56">
        <v>53</v>
      </c>
      <c r="B56" t="s">
        <v>111</v>
      </c>
      <c r="C56">
        <v>24</v>
      </c>
      <c r="D56" t="s">
        <v>199</v>
      </c>
      <c r="E56" t="s">
        <v>112</v>
      </c>
      <c r="F56">
        <v>32.799999999999997</v>
      </c>
      <c r="G56">
        <v>0</v>
      </c>
      <c r="H56" t="b">
        <v>1</v>
      </c>
      <c r="I56" s="1">
        <v>45924</v>
      </c>
    </row>
    <row r="57" spans="1:9" x14ac:dyDescent="0.25">
      <c r="A57">
        <v>54</v>
      </c>
      <c r="B57" t="s">
        <v>113</v>
      </c>
      <c r="C57">
        <v>25</v>
      </c>
      <c r="D57" t="s">
        <v>199</v>
      </c>
      <c r="E57" t="s">
        <v>114</v>
      </c>
      <c r="F57">
        <v>7.45</v>
      </c>
      <c r="G57">
        <v>21</v>
      </c>
      <c r="H57" t="b">
        <v>0</v>
      </c>
      <c r="I57" s="1">
        <v>45987</v>
      </c>
    </row>
    <row r="58" spans="1:9" x14ac:dyDescent="0.25">
      <c r="A58">
        <v>55</v>
      </c>
      <c r="B58" t="s">
        <v>115</v>
      </c>
      <c r="C58">
        <v>25</v>
      </c>
      <c r="D58" t="s">
        <v>199</v>
      </c>
      <c r="E58" t="s">
        <v>116</v>
      </c>
      <c r="F58">
        <v>24</v>
      </c>
      <c r="G58">
        <v>115</v>
      </c>
      <c r="H58" t="b">
        <v>0</v>
      </c>
      <c r="I58" s="1">
        <v>45764</v>
      </c>
    </row>
    <row r="59" spans="1:9" x14ac:dyDescent="0.25">
      <c r="A59">
        <v>56</v>
      </c>
      <c r="B59" t="s">
        <v>117</v>
      </c>
      <c r="C59">
        <v>26</v>
      </c>
      <c r="D59" t="s">
        <v>198</v>
      </c>
      <c r="E59" t="s">
        <v>118</v>
      </c>
      <c r="F59">
        <v>38</v>
      </c>
      <c r="G59">
        <v>21</v>
      </c>
      <c r="H59" t="b">
        <v>0</v>
      </c>
      <c r="I59" s="1">
        <v>45899</v>
      </c>
    </row>
    <row r="60" spans="1:9" x14ac:dyDescent="0.25">
      <c r="A60">
        <v>57</v>
      </c>
      <c r="B60" t="s">
        <v>119</v>
      </c>
      <c r="C60">
        <v>26</v>
      </c>
      <c r="D60" t="s">
        <v>198</v>
      </c>
      <c r="E60" t="s">
        <v>118</v>
      </c>
      <c r="F60">
        <v>19.5</v>
      </c>
      <c r="G60">
        <v>36</v>
      </c>
      <c r="H60" t="b">
        <v>0</v>
      </c>
      <c r="I60" s="1">
        <v>45947</v>
      </c>
    </row>
    <row r="61" spans="1:9" x14ac:dyDescent="0.25">
      <c r="A61">
        <v>58</v>
      </c>
      <c r="B61" t="s">
        <v>120</v>
      </c>
      <c r="C61">
        <v>27</v>
      </c>
      <c r="D61" t="s">
        <v>200</v>
      </c>
      <c r="E61" t="s">
        <v>121</v>
      </c>
      <c r="F61">
        <v>13.25</v>
      </c>
      <c r="G61">
        <v>62</v>
      </c>
      <c r="H61" t="b">
        <v>0</v>
      </c>
      <c r="I61" s="1">
        <v>45793</v>
      </c>
    </row>
    <row r="62" spans="1:9" x14ac:dyDescent="0.25">
      <c r="A62">
        <v>59</v>
      </c>
      <c r="B62" t="s">
        <v>122</v>
      </c>
      <c r="C62">
        <v>28</v>
      </c>
      <c r="D62" t="s">
        <v>197</v>
      </c>
      <c r="E62" t="s">
        <v>123</v>
      </c>
      <c r="F62">
        <v>55</v>
      </c>
      <c r="G62">
        <v>79</v>
      </c>
      <c r="H62" t="b">
        <v>0</v>
      </c>
      <c r="I62" s="1">
        <v>45975</v>
      </c>
    </row>
    <row r="63" spans="1:9" x14ac:dyDescent="0.25">
      <c r="A63">
        <v>60</v>
      </c>
      <c r="B63" t="s">
        <v>124</v>
      </c>
      <c r="C63">
        <v>28</v>
      </c>
      <c r="D63" t="s">
        <v>197</v>
      </c>
      <c r="E63" t="s">
        <v>125</v>
      </c>
      <c r="F63">
        <v>34</v>
      </c>
      <c r="G63">
        <v>19</v>
      </c>
      <c r="H63" t="b">
        <v>0</v>
      </c>
      <c r="I63" s="1">
        <v>45771</v>
      </c>
    </row>
    <row r="64" spans="1:9" x14ac:dyDescent="0.25">
      <c r="A64">
        <v>61</v>
      </c>
      <c r="B64" t="s">
        <v>126</v>
      </c>
      <c r="C64">
        <v>29</v>
      </c>
      <c r="D64" t="s">
        <v>195</v>
      </c>
      <c r="E64" t="s">
        <v>127</v>
      </c>
      <c r="F64">
        <v>28.5</v>
      </c>
      <c r="G64">
        <v>113</v>
      </c>
      <c r="H64" t="b">
        <v>0</v>
      </c>
      <c r="I64" s="1">
        <v>45967</v>
      </c>
    </row>
    <row r="65" spans="1:9" x14ac:dyDescent="0.25">
      <c r="A65">
        <v>62</v>
      </c>
      <c r="B65" t="s">
        <v>128</v>
      </c>
      <c r="C65">
        <v>29</v>
      </c>
      <c r="D65" t="s">
        <v>196</v>
      </c>
      <c r="E65" t="s">
        <v>129</v>
      </c>
      <c r="F65">
        <v>49.3</v>
      </c>
      <c r="G65">
        <v>17</v>
      </c>
      <c r="H65" t="b">
        <v>0</v>
      </c>
      <c r="I65" s="1">
        <v>45846</v>
      </c>
    </row>
    <row r="66" spans="1:9" x14ac:dyDescent="0.25">
      <c r="A66">
        <v>63</v>
      </c>
      <c r="B66" t="s">
        <v>130</v>
      </c>
      <c r="C66">
        <v>7</v>
      </c>
      <c r="D66" t="s">
        <v>195</v>
      </c>
      <c r="E66" t="s">
        <v>131</v>
      </c>
      <c r="F66">
        <v>43.9</v>
      </c>
      <c r="G66">
        <v>24</v>
      </c>
      <c r="H66" t="b">
        <v>0</v>
      </c>
      <c r="I66" s="1">
        <v>45824</v>
      </c>
    </row>
    <row r="67" spans="1:9" x14ac:dyDescent="0.25">
      <c r="A67">
        <v>64</v>
      </c>
      <c r="B67" t="s">
        <v>132</v>
      </c>
      <c r="C67">
        <v>12</v>
      </c>
      <c r="D67" t="s">
        <v>198</v>
      </c>
      <c r="E67" t="s">
        <v>133</v>
      </c>
      <c r="F67">
        <v>33.25</v>
      </c>
      <c r="G67">
        <v>22</v>
      </c>
      <c r="H67" t="b">
        <v>0</v>
      </c>
      <c r="I67" s="1">
        <v>45944</v>
      </c>
    </row>
    <row r="68" spans="1:9" x14ac:dyDescent="0.25">
      <c r="A68">
        <v>65</v>
      </c>
      <c r="B68" t="s">
        <v>134</v>
      </c>
      <c r="C68">
        <v>2</v>
      </c>
      <c r="D68" t="s">
        <v>195</v>
      </c>
      <c r="E68" t="s">
        <v>135</v>
      </c>
      <c r="F68">
        <v>21.05</v>
      </c>
      <c r="G68">
        <v>76</v>
      </c>
      <c r="H68" t="b">
        <v>0</v>
      </c>
      <c r="I68" s="1">
        <v>45715</v>
      </c>
    </row>
    <row r="69" spans="1:9" x14ac:dyDescent="0.25">
      <c r="A69">
        <v>66</v>
      </c>
      <c r="B69" t="s">
        <v>136</v>
      </c>
      <c r="C69">
        <v>2</v>
      </c>
      <c r="D69" t="s">
        <v>195</v>
      </c>
      <c r="E69" t="s">
        <v>137</v>
      </c>
      <c r="F69">
        <v>17</v>
      </c>
      <c r="G69">
        <v>4</v>
      </c>
      <c r="H69" t="b">
        <v>0</v>
      </c>
      <c r="I69" s="1">
        <v>46008</v>
      </c>
    </row>
    <row r="70" spans="1:9" x14ac:dyDescent="0.25">
      <c r="A70">
        <v>67</v>
      </c>
      <c r="B70" t="s">
        <v>138</v>
      </c>
      <c r="C70">
        <v>16</v>
      </c>
      <c r="D70" t="s">
        <v>194</v>
      </c>
      <c r="E70" t="s">
        <v>12</v>
      </c>
      <c r="F70">
        <v>14</v>
      </c>
      <c r="G70">
        <v>52</v>
      </c>
      <c r="H70" t="b">
        <v>0</v>
      </c>
      <c r="I70" s="1">
        <v>45715</v>
      </c>
    </row>
    <row r="71" spans="1:9" x14ac:dyDescent="0.25">
      <c r="A71">
        <v>68</v>
      </c>
      <c r="B71" t="s">
        <v>139</v>
      </c>
      <c r="C71">
        <v>8</v>
      </c>
      <c r="D71" t="s">
        <v>196</v>
      </c>
      <c r="E71" t="s">
        <v>140</v>
      </c>
      <c r="F71">
        <v>12.5</v>
      </c>
      <c r="G71">
        <v>6</v>
      </c>
      <c r="H71" t="b">
        <v>0</v>
      </c>
      <c r="I71" s="1">
        <v>45695</v>
      </c>
    </row>
    <row r="72" spans="1:9" x14ac:dyDescent="0.25">
      <c r="A72">
        <v>69</v>
      </c>
      <c r="B72" t="s">
        <v>141</v>
      </c>
      <c r="C72">
        <v>15</v>
      </c>
      <c r="D72" t="s">
        <v>197</v>
      </c>
      <c r="E72" t="s">
        <v>142</v>
      </c>
      <c r="F72">
        <v>36</v>
      </c>
      <c r="G72">
        <v>26</v>
      </c>
      <c r="H72" t="b">
        <v>0</v>
      </c>
      <c r="I72" s="1">
        <v>45827</v>
      </c>
    </row>
    <row r="73" spans="1:9" x14ac:dyDescent="0.25">
      <c r="A73">
        <v>70</v>
      </c>
      <c r="B73" t="s">
        <v>143</v>
      </c>
      <c r="C73">
        <v>7</v>
      </c>
      <c r="D73" t="s">
        <v>194</v>
      </c>
      <c r="E73" t="s">
        <v>144</v>
      </c>
      <c r="F73">
        <v>15</v>
      </c>
      <c r="G73">
        <v>15</v>
      </c>
      <c r="H73" t="b">
        <v>0</v>
      </c>
      <c r="I73" s="1">
        <v>45827</v>
      </c>
    </row>
    <row r="74" spans="1:9" x14ac:dyDescent="0.25">
      <c r="A74">
        <v>71</v>
      </c>
      <c r="B74" t="s">
        <v>145</v>
      </c>
      <c r="C74">
        <v>15</v>
      </c>
      <c r="D74" t="s">
        <v>197</v>
      </c>
      <c r="E74" t="s">
        <v>32</v>
      </c>
      <c r="F74">
        <v>21.5</v>
      </c>
      <c r="G74">
        <v>26</v>
      </c>
      <c r="H74" t="b">
        <v>0</v>
      </c>
      <c r="I74" s="1">
        <v>46004</v>
      </c>
    </row>
    <row r="75" spans="1:9" x14ac:dyDescent="0.25">
      <c r="A75">
        <v>72</v>
      </c>
      <c r="B75" t="s">
        <v>146</v>
      </c>
      <c r="C75">
        <v>14</v>
      </c>
      <c r="D75" t="s">
        <v>197</v>
      </c>
      <c r="E75" t="s">
        <v>72</v>
      </c>
      <c r="F75">
        <v>34.799999999999997</v>
      </c>
      <c r="G75">
        <v>14</v>
      </c>
      <c r="H75" t="b">
        <v>0</v>
      </c>
      <c r="I75" s="1">
        <v>45717</v>
      </c>
    </row>
    <row r="76" spans="1:9" x14ac:dyDescent="0.25">
      <c r="A76">
        <v>73</v>
      </c>
      <c r="B76" t="s">
        <v>147</v>
      </c>
      <c r="C76">
        <v>17</v>
      </c>
      <c r="D76" t="s">
        <v>200</v>
      </c>
      <c r="E76" t="s">
        <v>148</v>
      </c>
      <c r="F76">
        <v>15</v>
      </c>
      <c r="G76">
        <v>101</v>
      </c>
      <c r="H76" t="b">
        <v>0</v>
      </c>
      <c r="I76" s="1">
        <v>45683</v>
      </c>
    </row>
    <row r="77" spans="1:9" x14ac:dyDescent="0.25">
      <c r="A77">
        <v>74</v>
      </c>
      <c r="B77" t="s">
        <v>149</v>
      </c>
      <c r="C77">
        <v>4</v>
      </c>
      <c r="D77" t="s">
        <v>201</v>
      </c>
      <c r="E77" t="s">
        <v>123</v>
      </c>
      <c r="F77">
        <v>10</v>
      </c>
      <c r="G77">
        <v>4</v>
      </c>
      <c r="H77" t="b">
        <v>0</v>
      </c>
      <c r="I77" s="1">
        <v>45904</v>
      </c>
    </row>
    <row r="78" spans="1:9" x14ac:dyDescent="0.25">
      <c r="A78">
        <v>75</v>
      </c>
      <c r="B78" t="s">
        <v>150</v>
      </c>
      <c r="C78">
        <v>12</v>
      </c>
      <c r="D78" t="s">
        <v>194</v>
      </c>
      <c r="E78" t="s">
        <v>151</v>
      </c>
      <c r="F78">
        <v>7.75</v>
      </c>
      <c r="G78">
        <v>125</v>
      </c>
      <c r="H78" t="b">
        <v>0</v>
      </c>
      <c r="I78" s="1">
        <v>45896</v>
      </c>
    </row>
    <row r="79" spans="1:9" x14ac:dyDescent="0.25">
      <c r="A79">
        <v>76</v>
      </c>
      <c r="B79" t="s">
        <v>152</v>
      </c>
      <c r="C79">
        <v>23</v>
      </c>
      <c r="D79" t="s">
        <v>194</v>
      </c>
      <c r="E79" t="s">
        <v>153</v>
      </c>
      <c r="F79">
        <v>18</v>
      </c>
      <c r="G79">
        <v>57</v>
      </c>
      <c r="H79" t="b">
        <v>0</v>
      </c>
      <c r="I79" s="1">
        <v>45704</v>
      </c>
    </row>
    <row r="80" spans="1:9" x14ac:dyDescent="0.25">
      <c r="A80">
        <v>77</v>
      </c>
      <c r="B80" t="s">
        <v>154</v>
      </c>
      <c r="C80">
        <v>12</v>
      </c>
      <c r="D80" t="s">
        <v>195</v>
      </c>
      <c r="E80" t="s">
        <v>155</v>
      </c>
      <c r="F80">
        <v>13</v>
      </c>
      <c r="G80">
        <v>32</v>
      </c>
      <c r="H80" t="b">
        <v>0</v>
      </c>
      <c r="I80" s="1">
        <v>45883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8DD8-A9FC-458C-A593-20122B086AF6}">
  <dimension ref="A2:B2"/>
  <sheetViews>
    <sheetView workbookViewId="0">
      <selection activeCell="B2" sqref="B2"/>
    </sheetView>
  </sheetViews>
  <sheetFormatPr baseColWidth="10" defaultColWidth="8.85546875" defaultRowHeight="15" x14ac:dyDescent="0.25"/>
  <sheetData>
    <row r="2" spans="1:2" x14ac:dyDescent="0.25">
      <c r="A2" t="s">
        <v>186</v>
      </c>
      <c r="B2" s="7">
        <v>8.1000000000000003E-2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c282f0aa5cb755374aae85114d899be3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8b2f903eb272705ac07f452022413e9c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6592C5-21C2-4CC8-9BDC-0D753961DB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E8CCEF-5BD0-4815-BCA5-412CAB4D48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9B68E5-3B03-49FB-AE9B-72782922116A}">
  <ds:schemaRefs>
    <ds:schemaRef ds:uri="http://schemas.microsoft.com/office/2006/documentManagement/types"/>
    <ds:schemaRef ds:uri="037ed5ce-9e80-41f7-81a5-4f297c26d5d9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3</vt:i4>
      </vt:variant>
    </vt:vector>
  </HeadingPairs>
  <TitlesOfParts>
    <vt:vector size="13" baseType="lpstr">
      <vt:lpstr>Source</vt:lpstr>
      <vt:lpstr>Ex1 Plage-&gt;Tableau</vt:lpstr>
      <vt:lpstr>EX2 Formules</vt:lpstr>
      <vt:lpstr>EX3 Graphique</vt:lpstr>
      <vt:lpstr>Ex4 Segment</vt:lpstr>
      <vt:lpstr>Ex5 Liste déroulante</vt:lpstr>
      <vt:lpstr>Ex6 TCD</vt:lpstr>
      <vt:lpstr>Ex7 Filtre avancé</vt:lpstr>
      <vt:lpstr>Ex8 Fonctions filtre+tri</vt:lpstr>
      <vt:lpstr>Variables</vt:lpstr>
      <vt:lpstr>'Ex7 Filtre avancé'!Criteres</vt:lpstr>
      <vt:lpstr>'Ex7 Filtre avancé'!Extraire</vt:lpstr>
      <vt:lpstr>tauxTVA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Ludovic Moreau, manager</cp:lastModifiedBy>
  <cp:revision/>
  <dcterms:created xsi:type="dcterms:W3CDTF">2026-01-07T15:38:59Z</dcterms:created>
  <dcterms:modified xsi:type="dcterms:W3CDTF">2026-01-10T18:18:16Z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</Properties>
</file>