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slicers/slicer1.xml" ContentType="application/vnd.ms-excel.slicer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EXCEL TABLE/"/>
    </mc:Choice>
  </mc:AlternateContent>
  <xr:revisionPtr revIDLastSave="570" documentId="11_34DE45036A6E9D0DF29648E6F74607182D73F6FA" xr6:coauthVersionLast="47" xr6:coauthVersionMax="47" xr10:uidLastSave="{274A2FC7-81B5-4BA8-A8B1-965E08E31078}"/>
  <bookViews>
    <workbookView xWindow="-120" yWindow="-120" windowWidth="29040" windowHeight="15720" firstSheet="3" activeTab="6" xr2:uid="{00000000-000D-0000-FFFF-FFFF00000000}"/>
  </bookViews>
  <sheets>
    <sheet name="Source" sheetId="1" r:id="rId1"/>
    <sheet name="Ex1 Plage-&gt;Tableau" sheetId="6" r:id="rId2"/>
    <sheet name="EX2 Formules" sheetId="2" r:id="rId3"/>
    <sheet name="EX3 Graphique" sheetId="5" r:id="rId4"/>
    <sheet name="Ex4 Segment" sheetId="3" r:id="rId5"/>
    <sheet name="Ex5 Liste déroulante" sheetId="8" r:id="rId6"/>
    <sheet name="Ex6 TCD" sheetId="9" r:id="rId7"/>
    <sheet name="Ex7 Filtre avancé" sheetId="10" r:id="rId8"/>
    <sheet name="Ex8 Fonctions filtre+tri" sheetId="11" r:id="rId9"/>
    <sheet name="Variables" sheetId="4" state="hidden" r:id="rId10"/>
  </sheets>
  <definedNames>
    <definedName name="_xlnm._FilterDatabase" localSheetId="7" hidden="1">'Ex7 Filtre avancé'!$A$3:$I$80</definedName>
    <definedName name="ChronologieNative_1ère_vente">#N/A</definedName>
    <definedName name="_xlnm.Criteria" localSheetId="7">'Ex7 Filtre avancé'!$L$37:$M$39</definedName>
    <definedName name="_xlnm.Extract" localSheetId="7">'Ex7 Filtre avancé'!$L$41:$T$41</definedName>
    <definedName name="Liste_Cat">tbl_cat[CategoryID]</definedName>
    <definedName name="Segment_CategoryID">#N/A</definedName>
    <definedName name="Segment_FournisseurID">#N/A</definedName>
    <definedName name="Segment_FournisseurID1">#N/A</definedName>
    <definedName name="Segment_Vente_terminée">#N/A</definedName>
    <definedName name="tauxTVA">Variables!$B$2</definedName>
  </definedNames>
  <calcPr calcId="191028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46BE6895-7355-4a93-B00E-2C351335B9C9}">
      <x15:slicerCaches xmlns:x14="http://schemas.microsoft.com/office/spreadsheetml/2009/9/main">
        <x14:slicerCache r:id="rId14"/>
        <x14:slicerCache r:id="rId15"/>
        <x14:slicerCache r:id="rId1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1" l="1" a="1"/>
  <c r="U14" i="11" s="1"/>
  <c r="K4" i="11" a="1"/>
  <c r="K4" i="11" s="1"/>
  <c r="K14" i="11" a="1"/>
  <c r="K14" i="11" s="1"/>
  <c r="Q10" i="2"/>
  <c r="R10" i="2"/>
  <c r="L20" i="5"/>
  <c r="M20" i="5" s="1"/>
  <c r="F20" i="5"/>
  <c r="E20" i="5"/>
  <c r="L19" i="5"/>
  <c r="M19" i="5" s="1"/>
  <c r="E19" i="5"/>
  <c r="F19" i="5" s="1"/>
  <c r="L18" i="5"/>
  <c r="M18" i="5" s="1"/>
  <c r="E18" i="5"/>
  <c r="F18" i="5" s="1"/>
  <c r="L17" i="5"/>
  <c r="M17" i="5" s="1"/>
  <c r="E17" i="5"/>
  <c r="F17" i="5" s="1"/>
  <c r="L16" i="5"/>
  <c r="M16" i="5" s="1"/>
  <c r="F16" i="5"/>
  <c r="E16" i="5"/>
  <c r="L15" i="5"/>
  <c r="M15" i="5" s="1"/>
  <c r="E15" i="5"/>
  <c r="F15" i="5" s="1"/>
  <c r="L14" i="5"/>
  <c r="M14" i="5" s="1"/>
  <c r="E14" i="5"/>
  <c r="F14" i="5" s="1"/>
  <c r="L13" i="5"/>
  <c r="M13" i="5" s="1"/>
  <c r="E13" i="5"/>
  <c r="F13" i="5" s="1"/>
  <c r="L12" i="5"/>
  <c r="M12" i="5" s="1"/>
  <c r="F12" i="5"/>
  <c r="E12" i="5"/>
  <c r="L11" i="5"/>
  <c r="M11" i="5" s="1"/>
  <c r="E11" i="5"/>
  <c r="F11" i="5" s="1"/>
  <c r="L10" i="5"/>
  <c r="M10" i="5" s="1"/>
  <c r="E10" i="5"/>
  <c r="F10" i="5" s="1"/>
  <c r="L9" i="5"/>
  <c r="M9" i="5" s="1"/>
  <c r="E9" i="5"/>
  <c r="F9" i="5" s="1"/>
  <c r="L8" i="5"/>
  <c r="M8" i="5" s="1"/>
  <c r="F8" i="5"/>
  <c r="E8" i="5"/>
  <c r="L7" i="5"/>
  <c r="M7" i="5" s="1"/>
  <c r="E7" i="5"/>
  <c r="F7" i="5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7" i="2"/>
  <c r="F7" i="2" s="1"/>
  <c r="K13" i="11"/>
  <c r="U13" i="11"/>
  <c r="K3" i="11"/>
  <c r="Q8" i="2" l="1"/>
  <c r="Q6" i="2"/>
  <c r="R8" i="2"/>
  <c r="R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<sst xmlns="http://schemas.openxmlformats.org/spreadsheetml/2006/main" count="1471" uniqueCount="212">
  <si>
    <t>ProductID</t>
  </si>
  <si>
    <t>Nom Produit</t>
  </si>
  <si>
    <t>FournisseurID</t>
  </si>
  <si>
    <t>CategoryID</t>
  </si>
  <si>
    <t>Packaging</t>
  </si>
  <si>
    <t>Prix Unit.</t>
  </si>
  <si>
    <t>Nb en stock</t>
  </si>
  <si>
    <t>Vente terminée</t>
  </si>
  <si>
    <t>1ère vente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</si>
  <si>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</si>
  <si>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</si>
  <si>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</si>
  <si>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</si>
  <si>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</si>
  <si>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</si>
  <si>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</si>
  <si>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</si>
  <si>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</si>
  <si>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</si>
  <si>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</si>
  <si>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</si>
  <si>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</si>
  <si>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</si>
  <si>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</si>
  <si>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</si>
  <si>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</si>
  <si>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</si>
  <si>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</si>
  <si>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</si>
  <si>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</si>
  <si>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</si>
  <si>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</si>
  <si>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</si>
  <si>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</si>
  <si>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</si>
  <si>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</si>
  <si>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</si>
  <si>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</si>
  <si>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</si>
  <si>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</si>
  <si>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</si>
  <si>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</si>
  <si>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</si>
  <si>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</si>
  <si>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</si>
  <si>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</si>
  <si>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</si>
  <si>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</si>
  <si>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</si>
  <si>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</si>
  <si>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</si>
  <si>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</si>
  <si>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</si>
  <si>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</si>
  <si>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</si>
  <si>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</si>
  <si>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</si>
  <si>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</si>
  <si>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</si>
  <si>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</si>
  <si>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</si>
  <si>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</si>
  <si>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</si>
  <si>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</si>
  <si>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</si>
  <si>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</si>
  <si>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</si>
  <si>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</si>
  <si>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</si>
  <si>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</si>
  <si>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</si>
  <si>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</si>
  <si>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</si>
  <si>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</si>
  <si>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</si>
  <si>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</si>
  <si>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</si>
  <si>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</si>
  <si>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</si>
  <si>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</si>
  <si>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</si>
  <si>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</si>
  <si>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</si>
  <si>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</si>
  <si>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</si>
  <si>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</si>
  <si>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</si>
  <si>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</si>
  <si>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</si>
  <si>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</si>
  <si>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</si>
  <si>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</si>
  <si>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</si>
  <si>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</si>
  <si>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</si>
  <si>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</si>
  <si>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</si>
  <si>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</si>
  <si>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</si>
  <si>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</si>
  <si>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</si>
  <si>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</si>
  <si>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</si>
  <si>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</si>
  <si>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</si>
  <si>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</si>
  <si>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</si>
  <si>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</si>
  <si>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</si>
  <si>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</si>
  <si>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</si>
  <si>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</si>
  <si>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</si>
  <si>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</si>
  <si>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</si>
  <si>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</si>
  <si>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</si>
  <si>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</si>
  <si>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</si>
  <si>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</si>
  <si>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</si>
  <si>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</si>
  <si>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</si>
  <si>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</si>
  <si>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</si>
  <si>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</si>
  <si>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</si>
  <si>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</si>
  <si>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</si>
  <si>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</si>
  <si>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</si>
  <si>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</si>
  <si>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</si>
  <si>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</si>
  <si>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</si>
  <si>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</si>
  <si>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</si>
  <si>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</si>
  <si>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</si>
  <si>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</si>
  <si>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</si>
  <si>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</si>
  <si>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</si>
  <si>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</si>
  <si>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</si>
  <si>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</si>
  <si>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</si>
  <si>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</si>
  <si>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</si>
  <si>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</si>
  <si>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</si>
  <si>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</si>
  <si>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</si>
  <si>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</si>
  <si>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</si>
  <si>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</si>
  <si>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Plage de cellules</t>
  </si>
  <si>
    <t>Tableau Excel</t>
  </si>
  <si>
    <t>Magasin</t>
  </si>
  <si>
    <t>jan</t>
  </si>
  <si>
    <t>feb</t>
  </si>
  <si>
    <t>mar</t>
  </si>
  <si>
    <t>TOTAL</t>
  </si>
  <si>
    <t>TOTAL TTC</t>
  </si>
  <si>
    <t>Magasin1</t>
  </si>
  <si>
    <t>Magasin2</t>
  </si>
  <si>
    <t>Magasin3</t>
  </si>
  <si>
    <t>Magasin4</t>
  </si>
  <si>
    <t>Magasin5</t>
  </si>
  <si>
    <t>Magasin6</t>
  </si>
  <si>
    <t>Magasin7</t>
  </si>
  <si>
    <t>Magasin8</t>
  </si>
  <si>
    <t>Magasin9</t>
  </si>
  <si>
    <t>Magasin10</t>
  </si>
  <si>
    <t>Magasin11</t>
  </si>
  <si>
    <t>Magasin12</t>
  </si>
  <si>
    <t>Magasin13</t>
  </si>
  <si>
    <t>Magasin14</t>
  </si>
  <si>
    <t>Nouvelles données</t>
  </si>
  <si>
    <t>Magasin24</t>
  </si>
  <si>
    <t>Magasin25</t>
  </si>
  <si>
    <t>Magasin26</t>
  </si>
  <si>
    <t>Magasin27</t>
  </si>
  <si>
    <t>Magasin28</t>
  </si>
  <si>
    <t>Magasin29</t>
  </si>
  <si>
    <t>Magasin30</t>
  </si>
  <si>
    <t>Taux TVA</t>
  </si>
  <si>
    <t>TOTAL GLOBAL</t>
  </si>
  <si>
    <t>TOTAL TTC GLOBAL</t>
  </si>
  <si>
    <t>Nombre de Magasin</t>
  </si>
  <si>
    <t>PLAGE</t>
  </si>
  <si>
    <t>TABLEAU</t>
  </si>
  <si>
    <t>Choisissez une catégorie (PLAGE)</t>
  </si>
  <si>
    <t>Choisissez une catégorie (TABLEAU)</t>
  </si>
  <si>
    <t>Somme de Nb en stock</t>
  </si>
  <si>
    <t>Étiquettes de lignes</t>
  </si>
  <si>
    <t>Total général</t>
  </si>
  <si>
    <t>Boisson</t>
  </si>
  <si>
    <t>Epices</t>
  </si>
  <si>
    <t>Dessert</t>
  </si>
  <si>
    <t>Fromage</t>
  </si>
  <si>
    <t>Pâtes</t>
  </si>
  <si>
    <t>Charcuterie</t>
  </si>
  <si>
    <t>Exclusif</t>
  </si>
  <si>
    <t>Divers</t>
  </si>
  <si>
    <t>1/ Filtre ET</t>
  </si>
  <si>
    <t>2/ Fonction TRIER()</t>
  </si>
  <si>
    <t>1/ Fonction FILTRE()</t>
  </si>
  <si>
    <t>3/ Fonctions Filtre + trier</t>
  </si>
  <si>
    <t>&gt;10</t>
  </si>
  <si>
    <t>2/ Filtre OU</t>
  </si>
  <si>
    <t>1/ Filtre ET + 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</si>
</sst>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D3512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A02B93"/>
        <bgColor rgb="FFA02B93"/>
      </patternFill>
    </fill>
    <fill>
      <patternFill patternType="solid">
        <fgColor rgb="FFF2CEEF"/>
        <bgColor rgb="FFF2CEE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90099"/>
        <bgColor indexed="64"/>
      </patternFill>
    </fill>
    <fill>
      <patternFill patternType="solid">
        <fgColor rgb="FF990099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/>
    <xf numFmtId="0" fontId="8" fillId="0" borderId="3" applyNumberFormat="0" applyFill="0" applyAlignment="0" applyProtection="0"/>
    <xf numFmtId="0" fontId="9" fillId="14" borderId="0" applyNumberFormat="0" applyBorder="0" applyAlignment="0" applyProtection="0"/>
  </cellStyleXfs>
  <cellXfs count="42">
    <xf numFmtId="0" fontId="0" fillId="0" borderId="0" xfId="0"/>
    <xf numFmtId="14" fontId="0" fillId="0" borderId="0" xfId="0" applyNumberFormat="1"/>
    <xf numFmtId="0" fontId="3" fillId="2" borderId="0" xfId="0" applyFont="1" applyFill="1"/>
    <xf numFmtId="0" fontId="3" fillId="0" borderId="0" xfId="0" applyFont="1"/>
    <xf numFmtId="0" fontId="3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3" fillId="7" borderId="0" xfId="0" applyFont="1" applyFill="1"/>
    <xf numFmtId="10" fontId="0" fillId="0" borderId="0" xfId="0" applyNumberFormat="1"/>
    <xf numFmtId="2" fontId="3" fillId="0" borderId="0" xfId="0" applyNumberFormat="1" applyFont="1"/>
    <xf numFmtId="2" fontId="3" fillId="7" borderId="0" xfId="0" applyNumberFormat="1" applyFont="1" applyFill="1"/>
    <xf numFmtId="0" fontId="2" fillId="0" borderId="0" xfId="0" applyFont="1"/>
    <xf numFmtId="0" fontId="4" fillId="11" borderId="0" xfId="0" applyFont="1" applyFill="1"/>
    <xf numFmtId="2" fontId="0" fillId="0" borderId="0" xfId="0" applyNumberFormat="1"/>
    <xf numFmtId="0" fontId="0" fillId="9" borderId="1" xfId="0" applyFill="1" applyBorder="1"/>
    <xf numFmtId="0" fontId="0" fillId="0" borderId="1" xfId="0" applyBorder="1"/>
    <xf numFmtId="0" fontId="6" fillId="10" borderId="0" xfId="0" applyFont="1" applyFill="1"/>
    <xf numFmtId="0" fontId="7" fillId="0" borderId="0" xfId="0" applyFont="1"/>
    <xf numFmtId="0" fontId="6" fillId="12" borderId="0" xfId="0" applyFont="1" applyFill="1"/>
    <xf numFmtId="0" fontId="6" fillId="13" borderId="0" xfId="0" applyFont="1" applyFill="1"/>
    <xf numFmtId="0" fontId="1" fillId="8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8" borderId="4" xfId="0" applyFont="1" applyFill="1" applyBorder="1"/>
    <xf numFmtId="0" fontId="6" fillId="10" borderId="5" xfId="0" applyFont="1" applyFill="1" applyBorder="1"/>
    <xf numFmtId="0" fontId="6" fillId="12" borderId="5" xfId="0" applyFont="1" applyFill="1" applyBorder="1"/>
    <xf numFmtId="0" fontId="6" fillId="13" borderId="5" xfId="0" applyFont="1" applyFill="1" applyBorder="1"/>
    <xf numFmtId="0" fontId="8" fillId="0" borderId="3" xfId="1"/>
    <xf numFmtId="14" fontId="8" fillId="0" borderId="3" xfId="1" applyNumberFormat="1"/>
    <xf numFmtId="0" fontId="10" fillId="14" borderId="0" xfId="2" applyFont="1"/>
    <xf numFmtId="0" fontId="11" fillId="14" borderId="0" xfId="2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8" borderId="9" xfId="0" applyFont="1" applyFill="1" applyBorder="1"/>
    <xf numFmtId="0" fontId="0" fillId="0" borderId="10" xfId="0" applyBorder="1"/>
    <xf numFmtId="0" fontId="0" fillId="0" borderId="11" xfId="0" applyBorder="1"/>
    <xf numFmtId="14" fontId="0" fillId="0" borderId="10" xfId="0" applyNumberFormat="1" applyBorder="1"/>
    <xf numFmtId="0" fontId="0" fillId="0" borderId="12" xfId="0" applyBorder="1"/>
    <xf numFmtId="0" fontId="0" fillId="0" borderId="13" xfId="0" applyBorder="1"/>
    <xf numFmtId="14" fontId="0" fillId="0" borderId="14" xfId="0" applyNumberFormat="1" applyBorder="1"/>
  </cellXfs>
  <cellStyles count="3">
    <cellStyle name="Accent1" xfId="2" builtinId="29"/>
    <cellStyle name="Normal" xfId="0" builtinId="0"/>
    <cellStyle name="Titre 1" xfId="1" builtinId="16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A02B93"/>
          <bgColor rgb="FFA02B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A02B93"/>
          <bgColor rgb="FFA02B93"/>
        </patternFill>
      </fill>
    </dxf>
    <dxf>
      <numFmt numFmtId="19" formatCode="dd/mm/yyyy"/>
    </dxf>
    <dxf>
      <font>
        <color theme="0"/>
      </font>
      <fill>
        <patternFill>
          <bgColor rgb="FFCC0099"/>
        </patternFill>
      </fill>
    </dxf>
    <dxf>
      <font>
        <color theme="0"/>
      </font>
      <fill>
        <patternFill>
          <bgColor rgb="FF990099"/>
        </patternFill>
      </fill>
    </dxf>
  </dxfs>
  <tableStyles count="1" defaultTableStyle="TableStyleMedium2" defaultPivotStyle="PivotStyleMedium9">
    <tableStyle name="Style de tableau 1" pivot="0" count="2" xr9:uid="{FDDEDD25-1D97-416C-BF39-2E175E260212}">
      <tableStyleElement type="headerRow" dxfId="29"/>
      <tableStyleElement type="secondRowStripe" dxfId="28"/>
    </tableStyle>
  </tableStyles>
  <colors>
    <mruColors>
      <color rgb="FF990099"/>
      <color rgb="FFCC00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Depuis une plage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'EX3 Graphique'!$E$6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'EX3 Graphique'!$A$7:$A$20</c:f>
              <c:strCache>
                <c:ptCount val="14"/>
                <c:pt idx="0">
                  <c:v>Magasin1</c:v>
                </c:pt>
                <c:pt idx="1">
                  <c:v>Magasin2</c:v>
                </c:pt>
                <c:pt idx="2">
                  <c:v>Magasin3</c:v>
                </c:pt>
                <c:pt idx="3">
                  <c:v>Magasin4</c:v>
                </c:pt>
                <c:pt idx="4">
                  <c:v>Magasin5</c:v>
                </c:pt>
                <c:pt idx="5">
                  <c:v>Magasin6</c:v>
                </c:pt>
                <c:pt idx="6">
                  <c:v>Magasin7</c:v>
                </c:pt>
                <c:pt idx="7">
                  <c:v>Magasin8</c:v>
                </c:pt>
                <c:pt idx="8">
                  <c:v>Magasin9</c:v>
                </c:pt>
                <c:pt idx="9">
                  <c:v>Magasin10</c:v>
                </c:pt>
                <c:pt idx="10">
                  <c:v>Magasin11</c:v>
                </c:pt>
                <c:pt idx="11">
                  <c:v>Magasin12</c:v>
                </c:pt>
                <c:pt idx="12">
                  <c:v>Magasin13</c:v>
                </c:pt>
                <c:pt idx="13">
                  <c:v>Magasin14</c:v>
                </c:pt>
              </c:strCache>
            </c:strRef>
          </c:cat>
          <c:val>
            <c:numRef>
              <c:f>'EX3 Graphique'!$E$7:$E$20</c:f>
              <c:numCache>
                <c:formatCode>General</c:formatCode>
                <c:ptCount val="14"/>
                <c:pt idx="0">
                  <c:v>600</c:v>
                </c:pt>
                <c:pt idx="1">
                  <c:v>617</c:v>
                </c:pt>
                <c:pt idx="2">
                  <c:v>634</c:v>
                </c:pt>
                <c:pt idx="3">
                  <c:v>651</c:v>
                </c:pt>
                <c:pt idx="4">
                  <c:v>668</c:v>
                </c:pt>
                <c:pt idx="5">
                  <c:v>685</c:v>
                </c:pt>
                <c:pt idx="6">
                  <c:v>702</c:v>
                </c:pt>
                <c:pt idx="7">
                  <c:v>719</c:v>
                </c:pt>
                <c:pt idx="8">
                  <c:v>736</c:v>
                </c:pt>
                <c:pt idx="9">
                  <c:v>753</c:v>
                </c:pt>
                <c:pt idx="10">
                  <c:v>770</c:v>
                </c:pt>
                <c:pt idx="11">
                  <c:v>787</c:v>
                </c:pt>
                <c:pt idx="12">
                  <c:v>804</c:v>
                </c:pt>
                <c:pt idx="13">
                  <c:v>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09B-B1BA-F91B5B8C1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04191"/>
        <c:axId val="33208511"/>
      </c:barChart>
      <c:catAx>
        <c:axId val="332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208511"/>
        <c:crosses val="autoZero"/>
        <c:auto val="1"/>
        <c:lblAlgn val="ctr"/>
        <c:lblOffset val="100"/>
        <c:noMultiLvlLbl val="0"/>
      </c:catAx>
      <c:valAx>
        <c:axId val="3320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20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Depuis une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'EX3 Graphique'!$L$6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'EX3 Graphique'!$H$7:$H$20</c:f>
              <c:strCache>
                <c:ptCount val="14"/>
                <c:pt idx="0">
                  <c:v>Magasin1</c:v>
                </c:pt>
                <c:pt idx="1">
                  <c:v>Magasin2</c:v>
                </c:pt>
                <c:pt idx="2">
                  <c:v>Magasin3</c:v>
                </c:pt>
                <c:pt idx="3">
                  <c:v>Magasin4</c:v>
                </c:pt>
                <c:pt idx="4">
                  <c:v>Magasin5</c:v>
                </c:pt>
                <c:pt idx="5">
                  <c:v>Magasin6</c:v>
                </c:pt>
                <c:pt idx="6">
                  <c:v>Magasin7</c:v>
                </c:pt>
                <c:pt idx="7">
                  <c:v>Magasin8</c:v>
                </c:pt>
                <c:pt idx="8">
                  <c:v>Magasin9</c:v>
                </c:pt>
                <c:pt idx="9">
                  <c:v>Magasin10</c:v>
                </c:pt>
                <c:pt idx="10">
                  <c:v>Magasin11</c:v>
                </c:pt>
                <c:pt idx="11">
                  <c:v>Magasin12</c:v>
                </c:pt>
                <c:pt idx="12">
                  <c:v>Magasin13</c:v>
                </c:pt>
                <c:pt idx="13">
                  <c:v>Magasin14</c:v>
                </c:pt>
              </c:strCache>
            </c:strRef>
          </c:cat>
          <c:val>
            <c:numRef>
              <c:f>'EX3 Graphique'!$L$7:$L$20</c:f>
              <c:numCache>
                <c:formatCode>General</c:formatCode>
                <c:ptCount val="14"/>
                <c:pt idx="0">
                  <c:v>600</c:v>
                </c:pt>
                <c:pt idx="1">
                  <c:v>617</c:v>
                </c:pt>
                <c:pt idx="2">
                  <c:v>634</c:v>
                </c:pt>
                <c:pt idx="3">
                  <c:v>651</c:v>
                </c:pt>
                <c:pt idx="4">
                  <c:v>668</c:v>
                </c:pt>
                <c:pt idx="5">
                  <c:v>685</c:v>
                </c:pt>
                <c:pt idx="6">
                  <c:v>702</c:v>
                </c:pt>
                <c:pt idx="7">
                  <c:v>719</c:v>
                </c:pt>
                <c:pt idx="8">
                  <c:v>736</c:v>
                </c:pt>
                <c:pt idx="9">
                  <c:v>753</c:v>
                </c:pt>
                <c:pt idx="10">
                  <c:v>770</c:v>
                </c:pt>
                <c:pt idx="11">
                  <c:v>787</c:v>
                </c:pt>
                <c:pt idx="12">
                  <c:v>804</c:v>
                </c:pt>
                <c:pt idx="13">
                  <c:v>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F-4FDD-88B3-944530692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542447"/>
        <c:axId val="1496543887"/>
      </c:barChart>
      <c:catAx>
        <c:axId val="149654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543887"/>
        <c:crosses val="autoZero"/>
        <c:auto val="1"/>
        <c:lblAlgn val="ctr"/>
        <c:lblOffset val="100"/>
        <c:noMultiLvlLbl val="0"/>
      </c:catAx>
      <c:valAx>
        <c:axId val="14965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54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[Tableaux Excel - Corrigé.xlsx]Ex6 TCD!Tableau croisé dynamique1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'Ex6 TCD'!$B$3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'Ex6 TCD'!$A$4:$A$12</c:f>
              <c:strCache>
                <c:ptCount val="8"/>
                <c:pt idx="0">
                  <c:v>Boisson</c:v>
                </c:pt>
                <c:pt idx="1">
                  <c:v>Charcuterie</c:v>
                </c:pt>
                <c:pt idx="2">
                  <c:v>Dessert</c:v>
                </c:pt>
                <c:pt idx="3">
                  <c:v>Divers</c:v>
                </c:pt>
                <c:pt idx="4">
                  <c:v>Epices</c:v>
                </c:pt>
                <c:pt idx="5">
                  <c:v>Exclusif</c:v>
                </c:pt>
                <c:pt idx="6">
                  <c:v>Fromage</c:v>
                </c:pt>
                <c:pt idx="7">
                  <c:v>Pâtes</c:v>
                </c:pt>
              </c:strCache>
            </c:strRef>
          </c:cat>
          <c:val>
            <c:numRef>
              <c:f>'Ex6 TCD'!$B$4:$B$12</c:f>
              <c:numCache>
                <c:formatCode>General</c:formatCode>
                <c:ptCount val="8"/>
                <c:pt idx="0">
                  <c:v>559</c:v>
                </c:pt>
                <c:pt idx="1">
                  <c:v>165</c:v>
                </c:pt>
                <c:pt idx="2">
                  <c:v>386</c:v>
                </c:pt>
                <c:pt idx="3">
                  <c:v>100</c:v>
                </c:pt>
                <c:pt idx="4">
                  <c:v>507</c:v>
                </c:pt>
                <c:pt idx="5">
                  <c:v>701</c:v>
                </c:pt>
                <c:pt idx="6">
                  <c:v>393</c:v>
                </c:pt>
                <c:pt idx="7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8-434E-A2B4-7627CEC3C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1895295"/>
        <c:axId val="521891935"/>
      </c:barChart>
      <c:catAx>
        <c:axId val="5218952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1891935"/>
        <c:crosses val="autoZero"/>
        <c:auto val="1"/>
        <c:lblAlgn val="ctr"/>
        <c:lblOffset val="100"/>
        <c:noMultiLvlLbl val="0"/>
      </c:catAx>
      <c:valAx>
        <c:axId val="5218919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189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E3DC232-3903-4DAF-9655-583934846CBF}"/>
            </a:ext>
          </a:extLst>
        </xdr:cNvPr>
        <xdr:cNvSpPr/>
      </xdr:nvSpPr>
      <xdr:spPr>
        <a:xfrm>
          <a:off x="1490261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Convertir une plage</a:t>
          </a:r>
          <a:r>
            <a:rPr lang="fr-FR" sz="2400" b="0" i="1" cap="none" spc="0" baseline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en </a:t>
          </a:r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Tableau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6748B7A-76DF-4C06-8CFE-353497D46324}"/>
            </a:ext>
          </a:extLst>
        </xdr:cNvPr>
        <xdr:cNvSpPr/>
      </xdr:nvSpPr>
      <xdr:spPr>
        <a:xfrm>
          <a:off x="740635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Insérer des formules</a:t>
          </a:r>
          <a:r>
            <a:rPr lang="fr-FR" sz="2400" b="0" i="1" cap="none" spc="0" baseline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dans </a:t>
          </a:r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un tableau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9BF452-F9A5-4AF9-BA34-1D6A569B16BF}"/>
            </a:ext>
          </a:extLst>
        </xdr:cNvPr>
        <xdr:cNvSpPr/>
      </xdr:nvSpPr>
      <xdr:spPr>
        <a:xfrm>
          <a:off x="844466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Insérer un graphique depuis une table / un tableau</a:t>
          </a:r>
        </a:p>
      </xdr:txBody>
    </xdr:sp>
    <xdr:clientData/>
  </xdr:oneCellAnchor>
  <xdr:twoCellAnchor>
    <xdr:from>
      <xdr:col>14</xdr:col>
      <xdr:colOff>10682</xdr:colOff>
      <xdr:row>2</xdr:row>
      <xdr:rowOff>63381</xdr:rowOff>
    </xdr:from>
    <xdr:to>
      <xdr:col>21</xdr:col>
      <xdr:colOff>295542</xdr:colOff>
      <xdr:row>14</xdr:row>
      <xdr:rowOff>28487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B9149A-5A5D-4B12-901D-BA11268F2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608891</xdr:colOff>
      <xdr:row>14</xdr:row>
      <xdr:rowOff>120353</xdr:rowOff>
    </xdr:from>
    <xdr:to>
      <xdr:col>21</xdr:col>
      <xdr:colOff>281302</xdr:colOff>
      <xdr:row>25</xdr:row>
      <xdr:rowOff>178037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B4D0A57-73F9-4EA2-87F9-635FE48C7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512271</xdr:colOff>
      <xdr:row>4</xdr:row>
      <xdr:rowOff>17317</xdr:rowOff>
    </xdr:from>
    <xdr:to>
      <xdr:col>15</xdr:col>
      <xdr:colOff>512271</xdr:colOff>
      <xdr:row>18</xdr:row>
      <xdr:rowOff>91613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FournisseurID">
              <a:extLst>
                <a:ext uri="{FF2B5EF4-FFF2-40B4-BE49-F238E27FC236}">
                  <a16:creationId xmlns:a16="http://schemas.microsoft.com/office/drawing/2014/main" id="{5D32DDC9-CC5A-99E3-6DCF-D6F0D051F0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urnisseur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1672" y="1042900"/>
              <a:ext cx="1818409" cy="2620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403686</xdr:colOff>
      <xdr:row>4</xdr:row>
      <xdr:rowOff>15412</xdr:rowOff>
    </xdr:from>
    <xdr:to>
      <xdr:col>12</xdr:col>
      <xdr:colOff>403686</xdr:colOff>
      <xdr:row>12</xdr:row>
      <xdr:rowOff>95422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ategoryID">
              <a:extLst>
                <a:ext uri="{FF2B5EF4-FFF2-40B4-BE49-F238E27FC236}">
                  <a16:creationId xmlns:a16="http://schemas.microsoft.com/office/drawing/2014/main" id="{135DB5C8-F131-C295-2A1E-07F5480B3B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7058" y="1040995"/>
              <a:ext cx="1818409" cy="1527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403686</xdr:colOff>
      <xdr:row>13</xdr:row>
      <xdr:rowOff>95422</xdr:rowOff>
    </xdr:from>
    <xdr:to>
      <xdr:col>12</xdr:col>
      <xdr:colOff>403686</xdr:colOff>
      <xdr:row>18</xdr:row>
      <xdr:rowOff>96289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Vente terminée">
              <a:extLst>
                <a:ext uri="{FF2B5EF4-FFF2-40B4-BE49-F238E27FC236}">
                  <a16:creationId xmlns:a16="http://schemas.microsoft.com/office/drawing/2014/main" id="{5BC29D2B-5030-DB73-4899-9ADBBD680B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te terminé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7058" y="2749953"/>
              <a:ext cx="1818409" cy="9100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oneCellAnchor>
    <xdr:from>
      <xdr:col>1</xdr:col>
      <xdr:colOff>794935</xdr:colOff>
      <xdr:row>0</xdr:row>
      <xdr:rowOff>8660</xdr:rowOff>
    </xdr:from>
    <xdr:ext cx="7078767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4B1B18C-C207-4F26-B1C5-3B31EE0C9260}"/>
            </a:ext>
          </a:extLst>
        </xdr:cNvPr>
        <xdr:cNvSpPr/>
      </xdr:nvSpPr>
      <xdr:spPr>
        <a:xfrm>
          <a:off x="1574253" y="8660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Utilisation des segments (slicers)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</xdr:colOff>
      <xdr:row>6</xdr:row>
      <xdr:rowOff>140970</xdr:rowOff>
    </xdr:from>
    <xdr:to>
      <xdr:col>5</xdr:col>
      <xdr:colOff>74845</xdr:colOff>
      <xdr:row>23</xdr:row>
      <xdr:rowOff>168071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7923741-CAAF-C7DB-8056-FA8BEEED4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4980" y="702945"/>
          <a:ext cx="3949615" cy="309605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9525</xdr:colOff>
      <xdr:row>7</xdr:row>
      <xdr:rowOff>0</xdr:rowOff>
    </xdr:from>
    <xdr:to>
      <xdr:col>8</xdr:col>
      <xdr:colOff>779687</xdr:colOff>
      <xdr:row>23</xdr:row>
      <xdr:rowOff>168068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7C63629-DB2E-0D0B-AE49-613657FC0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50" y="742950"/>
          <a:ext cx="3884837" cy="306747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9</xdr:col>
      <xdr:colOff>230505</xdr:colOff>
      <xdr:row>6</xdr:row>
      <xdr:rowOff>163830</xdr:rowOff>
    </xdr:from>
    <xdr:to>
      <xdr:col>12</xdr:col>
      <xdr:colOff>705244</xdr:colOff>
      <xdr:row>18</xdr:row>
      <xdr:rowOff>93640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DF79CD4-B55F-DAF6-8D18-B298924BC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84180" y="754380"/>
          <a:ext cx="2836939" cy="211484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28575</xdr:colOff>
      <xdr:row>29</xdr:row>
      <xdr:rowOff>0</xdr:rowOff>
    </xdr:from>
    <xdr:to>
      <xdr:col>4</xdr:col>
      <xdr:colOff>284312</xdr:colOff>
      <xdr:row>40</xdr:row>
      <xdr:rowOff>112689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2D4EA2E-DF7F-B4D4-7122-BEA75A99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1650" y="4981575"/>
          <a:ext cx="3345647" cy="2103414"/>
        </a:xfrm>
        <a:prstGeom prst="rect">
          <a:avLst/>
        </a:prstGeom>
      </xdr:spPr>
    </xdr:pic>
    <xdr:clientData/>
  </xdr:twoCellAnchor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67AA6F7-1701-46A8-8B4E-AEAE36A5FF70}"/>
            </a:ext>
          </a:extLst>
        </xdr:cNvPr>
        <xdr:cNvSpPr/>
      </xdr:nvSpPr>
      <xdr:spPr>
        <a:xfrm>
          <a:off x="823511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Créer des listes déroulantes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329565</xdr:colOff>
      <xdr:row>3</xdr:row>
      <xdr:rowOff>44767</xdr:rowOff>
    </xdr:from>
    <xdr:to>
      <xdr:col>9</xdr:col>
      <xdr:colOff>163830</xdr:colOff>
      <xdr:row>18</xdr:row>
      <xdr:rowOff>69532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B3A31D4-2018-DAB4-2FBA-B85553FB8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573405</xdr:colOff>
      <xdr:row>14</xdr:row>
      <xdr:rowOff>135255</xdr:rowOff>
    </xdr:from>
    <xdr:to>
      <xdr:col>1</xdr:col>
      <xdr:colOff>988695</xdr:colOff>
      <xdr:row>32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ournisseurID 1">
              <a:extLst>
                <a:ext uri="{FF2B5EF4-FFF2-40B4-BE49-F238E27FC236}">
                  <a16:creationId xmlns:a16="http://schemas.microsoft.com/office/drawing/2014/main" id="{38A56380-C43A-3EB6-F519-B00CE54E81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urnisseurI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405" y="2303145"/>
              <a:ext cx="1815465" cy="32175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278130</xdr:colOff>
      <xdr:row>21</xdr:row>
      <xdr:rowOff>30480</xdr:rowOff>
    </xdr:from>
    <xdr:to>
      <xdr:col>7</xdr:col>
      <xdr:colOff>434340</xdr:colOff>
      <xdr:row>28</xdr:row>
      <xdr:rowOff>131445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1ère vente">
              <a:extLst>
                <a:ext uri="{FF2B5EF4-FFF2-40B4-BE49-F238E27FC236}">
                  <a16:creationId xmlns:a16="http://schemas.microsoft.com/office/drawing/2014/main" id="{F99E0CB1-6F1F-08BA-3AB6-0912BAB0FF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1ère v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1440" y="3467100"/>
              <a:ext cx="3318510" cy="1373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BAEFAE6-EF17-45E2-A051-07436B80DD57}"/>
            </a:ext>
          </a:extLst>
        </xdr:cNvPr>
        <xdr:cNvSpPr/>
      </xdr:nvSpPr>
      <xdr:spPr>
        <a:xfrm>
          <a:off x="890186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Tableau croisé dynamique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5CBCC3-A687-493C-B453-E925E507C50E}"/>
            </a:ext>
          </a:extLst>
        </xdr:cNvPr>
        <xdr:cNvSpPr/>
      </xdr:nvSpPr>
      <xdr:spPr>
        <a:xfrm>
          <a:off x="1490261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Filtres avancés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704FF5B-ACFF-4C6C-A7DD-951BBCD1731C}"/>
            </a:ext>
          </a:extLst>
        </xdr:cNvPr>
        <xdr:cNvSpPr/>
      </xdr:nvSpPr>
      <xdr:spPr>
        <a:xfrm>
          <a:off x="785411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Fonctions Filtre</a:t>
          </a:r>
          <a:r>
            <a:rPr lang="fr-FR" sz="2400" b="0" i="1" cap="none" spc="0" baseline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() et Trier()</a:t>
          </a:r>
          <a:endParaRPr lang="fr-FR" sz="2400" b="0" i="1" cap="none" spc="0">
            <a:ln w="0"/>
            <a:solidFill>
              <a:schemeClr val="bg1"/>
            </a:solidFill>
            <a:effectLst>
              <a:glow rad="101600">
                <a:schemeClr val="accent6">
                  <a:satMod val="175000"/>
                  <a:alpha val="40000"/>
                </a:schemeClr>
              </a:glow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pire" refreshedDate="46030.43507013889" createdVersion="8" refreshedVersion="8" minRefreshableVersion="3" recordCount="77" xr:uid="{2A68741F-25AE-40B9-A612-B643CC7FFC53}">
  <cacheSource type="worksheet">
    <worksheetSource name="tbl_source"/>
  </cacheSource>
  <cacheFields count="9">
    <cacheField name="ProductID" numFmtId="0">
      <sharedItems containsSemiMixedTypes="0" containsString="0" containsNumber="1" containsInteger="1" minValue="1" maxValue="77"/>
    </cacheField>
    <cacheField name="Nom Produit" numFmtId="0">
      <sharedItems/>
    </cacheField>
    <cacheField name="FournisseurID" numFmtId="0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CategoryID" numFmtId="0">
      <sharedItems containsMixedTypes="1" containsNumber="1" containsInteger="1" minValue="1" maxValue="8" count="16">
        <s v="Boisson"/>
        <s v="Epices"/>
        <s v="Divers"/>
        <s v="Charcuterie"/>
        <s v="Exclusif"/>
        <s v="Fromage"/>
        <s v="Dessert"/>
        <s v="Pâtes"/>
        <n v="1" u="1"/>
        <n v="2" u="1"/>
        <n v="7" u="1"/>
        <n v="6" u="1"/>
        <n v="8" u="1"/>
        <n v="4" u="1"/>
        <n v="3" u="1"/>
        <n v="5" u="1"/>
      </sharedItems>
    </cacheField>
    <cacheField name="Packaging" numFmtId="0">
      <sharedItems/>
    </cacheField>
    <cacheField name="Prix Unit." numFmtId="0">
      <sharedItems containsSemiMixedTypes="0" containsString="0" containsNumber="1" minValue="2.5" maxValue="263.5"/>
    </cacheField>
    <cacheField name="Nb en stock" numFmtId="0">
      <sharedItems containsSemiMixedTypes="0" containsString="0" containsNumber="1" containsInteger="1" minValue="0" maxValue="125"/>
    </cacheField>
    <cacheField name="Vente terminée" numFmtId="0">
      <sharedItems/>
    </cacheField>
    <cacheField name="1ère vente" numFmtId="14">
      <sharedItems containsSemiMixedTypes="0" containsNonDate="0" containsDate="1" containsString="0" minDate="2025-01-02T00:00:00" maxDate="2025-12-28T00:00:00" count="72">
        <d v="2025-10-23T00:00:00"/>
        <d v="2025-12-16T00:00:00"/>
        <d v="2025-04-05T00:00:00"/>
        <d v="2025-01-02T00:00:00"/>
        <d v="2025-12-11T00:00:00"/>
        <d v="2025-07-31T00:00:00"/>
        <d v="2025-12-04T00:00:00"/>
        <d v="2025-07-19T00:00:00"/>
        <d v="2025-01-06T00:00:00"/>
        <d v="2025-04-10T00:00:00"/>
        <d v="2025-11-15T00:00:00"/>
        <d v="2025-08-25T00:00:00"/>
        <d v="2025-10-06T00:00:00"/>
        <d v="2025-12-03T00:00:00"/>
        <d v="2025-09-10T00:00:00"/>
        <d v="2025-03-06T00:00:00"/>
        <d v="2025-08-15T00:00:00"/>
        <d v="2025-01-22T00:00:00"/>
        <d v="2025-03-23T00:00:00"/>
        <d v="2025-09-14T00:00:00"/>
        <d v="2025-07-06T00:00:00"/>
        <d v="2025-03-08T00:00:00"/>
        <d v="2025-12-20T00:00:00"/>
        <d v="2025-12-27T00:00:00"/>
        <d v="2025-02-04T00:00:00"/>
        <d v="2025-09-11T00:00:00"/>
        <d v="2025-05-07T00:00:00"/>
        <d v="2025-03-15T00:00:00"/>
        <d v="2025-10-13T00:00:00"/>
        <d v="2025-03-07T00:00:00"/>
        <d v="2025-05-14T00:00:00"/>
        <d v="2025-05-27T00:00:00"/>
        <d v="2025-11-12T00:00:00"/>
        <d v="2025-11-29T00:00:00"/>
        <d v="2025-08-01T00:00:00"/>
        <d v="2025-07-03T00:00:00"/>
        <d v="2025-07-22T00:00:00"/>
        <d v="2025-01-24T00:00:00"/>
        <d v="2025-07-18T00:00:00"/>
        <d v="2025-11-13T00:00:00"/>
        <d v="2025-05-16T00:00:00"/>
        <d v="2025-12-19T00:00:00"/>
        <d v="2025-03-16T00:00:00"/>
        <d v="2025-10-25T00:00:00"/>
        <d v="2025-11-24T00:00:00"/>
        <d v="2025-03-21T00:00:00"/>
        <d v="2025-04-21T00:00:00"/>
        <d v="2025-05-19T00:00:00"/>
        <d v="2025-11-07T00:00:00"/>
        <d v="2025-03-14T00:00:00"/>
        <d v="2025-09-24T00:00:00"/>
        <d v="2025-11-26T00:00:00"/>
        <d v="2025-04-17T00:00:00"/>
        <d v="2025-08-30T00:00:00"/>
        <d v="2025-10-17T00:00:00"/>
        <d v="2025-11-14T00:00:00"/>
        <d v="2025-04-24T00:00:00"/>
        <d v="2025-11-06T00:00:00"/>
        <d v="2025-07-08T00:00:00"/>
        <d v="2025-06-16T00:00:00"/>
        <d v="2025-10-14T00:00:00"/>
        <d v="2025-02-27T00:00:00"/>
        <d v="2025-12-17T00:00:00"/>
        <d v="2025-02-07T00:00:00"/>
        <d v="2025-06-19T00:00:00"/>
        <d v="2025-12-13T00:00:00"/>
        <d v="2025-03-01T00:00:00"/>
        <d v="2025-01-26T00:00:00"/>
        <d v="2025-09-04T00:00:00"/>
        <d v="2025-08-27T00:00:00"/>
        <d v="2025-02-16T00:00:00"/>
        <d v="2025-08-14T00:00:00"/>
      </sharedItems>
    </cacheField>
  </cacheFields>
  <extLst>
    <ext xmlns:x14="http://schemas.microsoft.com/office/spreadsheetml/2009/9/main" uri="{725AE2AE-9491-48be-B2B4-4EB974FC3084}">
      <x14:pivotCacheDefinition pivotCacheId="21250383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1"/>
    <s v="Chai"/>
    <x v="0"/>
    <x v="0"/>
    <s v="10 boxes x 20 bags"/>
    <n v="18"/>
    <n v="39"/>
    <b v="0"/>
    <x v="0"/>
  </r>
  <r>
    <n v="2"/>
    <s v="Chang"/>
    <x v="0"/>
    <x v="0"/>
    <s v="24 - 12 oz bottles"/>
    <n v="19"/>
    <n v="17"/>
    <b v="0"/>
    <x v="1"/>
  </r>
  <r>
    <n v="3"/>
    <s v="Aniseed Syrup"/>
    <x v="0"/>
    <x v="1"/>
    <s v="12 - 550 ml bottles"/>
    <n v="10"/>
    <n v="13"/>
    <b v="0"/>
    <x v="2"/>
  </r>
  <r>
    <n v="4"/>
    <s v="Chef Anton's Cajun Seasoning"/>
    <x v="1"/>
    <x v="1"/>
    <s v="48 - 6 oz jars"/>
    <n v="22"/>
    <n v="53"/>
    <b v="0"/>
    <x v="3"/>
  </r>
  <r>
    <n v="5"/>
    <s v="Chef Anton's Gumbo Mix"/>
    <x v="1"/>
    <x v="1"/>
    <s v="36 boxes"/>
    <n v="21.35"/>
    <n v="0"/>
    <b v="1"/>
    <x v="4"/>
  </r>
  <r>
    <n v="6"/>
    <s v="Grandma's Boysenberry Spread"/>
    <x v="2"/>
    <x v="1"/>
    <s v="12 - 8 oz jars"/>
    <n v="25"/>
    <n v="120"/>
    <b v="0"/>
    <x v="5"/>
  </r>
  <r>
    <n v="7"/>
    <s v="Uncle Bob's Organic Dried Pears"/>
    <x v="2"/>
    <x v="2"/>
    <s v="12 - 1 lb pkgs."/>
    <n v="30"/>
    <n v="15"/>
    <b v="0"/>
    <x v="6"/>
  </r>
  <r>
    <n v="8"/>
    <s v="Northwoods Cranberry Sauce"/>
    <x v="2"/>
    <x v="1"/>
    <s v="12 - 12 oz jars"/>
    <n v="40"/>
    <n v="6"/>
    <b v="0"/>
    <x v="7"/>
  </r>
  <r>
    <n v="9"/>
    <s v="Mishi Kobe Niku"/>
    <x v="3"/>
    <x v="3"/>
    <s v="18 - 500 g pkgs."/>
    <n v="97"/>
    <n v="29"/>
    <b v="1"/>
    <x v="8"/>
  </r>
  <r>
    <n v="10"/>
    <s v="Ikura"/>
    <x v="3"/>
    <x v="4"/>
    <s v="12 - 200 ml jars"/>
    <n v="31"/>
    <n v="31"/>
    <b v="0"/>
    <x v="9"/>
  </r>
  <r>
    <n v="11"/>
    <s v="Queso Cabrales"/>
    <x v="4"/>
    <x v="5"/>
    <s v="1 kg pkg."/>
    <n v="21"/>
    <n v="22"/>
    <b v="0"/>
    <x v="10"/>
  </r>
  <r>
    <n v="12"/>
    <s v="Queso Manchego La Pastora"/>
    <x v="4"/>
    <x v="5"/>
    <s v="10 - 500 g pkgs."/>
    <n v="38"/>
    <n v="86"/>
    <b v="0"/>
    <x v="11"/>
  </r>
  <r>
    <n v="13"/>
    <s v="Konbu"/>
    <x v="5"/>
    <x v="4"/>
    <s v="2 kg box"/>
    <n v="6"/>
    <n v="24"/>
    <b v="0"/>
    <x v="12"/>
  </r>
  <r>
    <n v="14"/>
    <s v="Tofu"/>
    <x v="5"/>
    <x v="2"/>
    <s v="40 - 100 g pkgs."/>
    <n v="23.25"/>
    <n v="35"/>
    <b v="0"/>
    <x v="13"/>
  </r>
  <r>
    <n v="15"/>
    <s v="Genen Shouyu"/>
    <x v="5"/>
    <x v="1"/>
    <s v="24 - 250 ml bottles"/>
    <n v="15.5"/>
    <n v="39"/>
    <b v="0"/>
    <x v="14"/>
  </r>
  <r>
    <n v="16"/>
    <s v="Pavlova"/>
    <x v="6"/>
    <x v="6"/>
    <s v="32 - 500 g boxes"/>
    <n v="17.45"/>
    <n v="29"/>
    <b v="0"/>
    <x v="15"/>
  </r>
  <r>
    <n v="17"/>
    <s v="Alice Mutton"/>
    <x v="6"/>
    <x v="3"/>
    <s v="20 - 1 kg tins"/>
    <n v="39"/>
    <n v="0"/>
    <b v="1"/>
    <x v="16"/>
  </r>
  <r>
    <n v="18"/>
    <s v="Carnarvon Tigers"/>
    <x v="6"/>
    <x v="4"/>
    <s v="16 kg pkg."/>
    <n v="62.5"/>
    <n v="42"/>
    <b v="0"/>
    <x v="17"/>
  </r>
  <r>
    <n v="19"/>
    <s v="Teatime Chocolate Biscuits"/>
    <x v="7"/>
    <x v="6"/>
    <s v="10 boxes x 12 pieces"/>
    <n v="9.1999999999999993"/>
    <n v="25"/>
    <b v="0"/>
    <x v="18"/>
  </r>
  <r>
    <n v="20"/>
    <s v="Sir Rodney's Marmalade"/>
    <x v="7"/>
    <x v="6"/>
    <s v="30 gift boxes"/>
    <n v="81"/>
    <n v="40"/>
    <b v="0"/>
    <x v="19"/>
  </r>
  <r>
    <n v="21"/>
    <s v="Sir Rodney's Scones"/>
    <x v="7"/>
    <x v="6"/>
    <s v="24 pkgs. x 4 pieces"/>
    <n v="10"/>
    <n v="3"/>
    <b v="0"/>
    <x v="20"/>
  </r>
  <r>
    <n v="22"/>
    <s v="Gustaf's Knäckebröd"/>
    <x v="8"/>
    <x v="7"/>
    <s v="24 - 500 g pkgs."/>
    <n v="21"/>
    <n v="104"/>
    <b v="0"/>
    <x v="21"/>
  </r>
  <r>
    <n v="23"/>
    <s v="Tunnbröd"/>
    <x v="8"/>
    <x v="7"/>
    <s v="12 - 250 g pkgs."/>
    <n v="9"/>
    <n v="61"/>
    <b v="0"/>
    <x v="22"/>
  </r>
  <r>
    <n v="24"/>
    <s v="Guaraná Fantástica"/>
    <x v="9"/>
    <x v="0"/>
    <s v="12 - 355 ml cans"/>
    <n v="4.5"/>
    <n v="20"/>
    <b v="1"/>
    <x v="23"/>
  </r>
  <r>
    <n v="25"/>
    <s v="NuNuCa Nuß-Nougat-Creme"/>
    <x v="10"/>
    <x v="6"/>
    <s v="20 - 450 g glasses"/>
    <n v="14"/>
    <n v="76"/>
    <b v="0"/>
    <x v="24"/>
  </r>
  <r>
    <n v="26"/>
    <s v="Gumbär Gummibärchen"/>
    <x v="10"/>
    <x v="6"/>
    <s v="100 - 250 g bags"/>
    <n v="31.23"/>
    <n v="15"/>
    <b v="0"/>
    <x v="25"/>
  </r>
  <r>
    <n v="27"/>
    <s v="Schoggi Schokolade"/>
    <x v="10"/>
    <x v="6"/>
    <s v="100 - 100 g pieces"/>
    <n v="43.9"/>
    <n v="49"/>
    <b v="0"/>
    <x v="26"/>
  </r>
  <r>
    <n v="28"/>
    <s v="Rössle Sauerkraut"/>
    <x v="11"/>
    <x v="2"/>
    <s v="25 - 825 g cans"/>
    <n v="45.6"/>
    <n v="26"/>
    <b v="1"/>
    <x v="27"/>
  </r>
  <r>
    <n v="29"/>
    <s v="Thüringer Rostbratwurst"/>
    <x v="11"/>
    <x v="3"/>
    <s v="50 bags x 30 sausgs."/>
    <n v="123.79"/>
    <n v="0"/>
    <b v="1"/>
    <x v="28"/>
  </r>
  <r>
    <n v="30"/>
    <s v="Nord-Ost Matjeshering"/>
    <x v="12"/>
    <x v="4"/>
    <s v="10 - 200 g glasses"/>
    <n v="25.89"/>
    <n v="10"/>
    <b v="0"/>
    <x v="29"/>
  </r>
  <r>
    <n v="31"/>
    <s v="Gorgonzola Telino"/>
    <x v="13"/>
    <x v="5"/>
    <s v="12 - 100 g pkgs"/>
    <n v="12.5"/>
    <n v="0"/>
    <b v="0"/>
    <x v="30"/>
  </r>
  <r>
    <n v="32"/>
    <s v="Mascarpone Fabioli"/>
    <x v="13"/>
    <x v="5"/>
    <s v="24 - 200 g pkgs."/>
    <n v="32"/>
    <n v="9"/>
    <b v="0"/>
    <x v="22"/>
  </r>
  <r>
    <n v="33"/>
    <s v="Geitost"/>
    <x v="14"/>
    <x v="5"/>
    <s v="500 g"/>
    <n v="2.5"/>
    <n v="112"/>
    <b v="0"/>
    <x v="31"/>
  </r>
  <r>
    <n v="34"/>
    <s v="Sasquatch Ale"/>
    <x v="15"/>
    <x v="0"/>
    <s v="24 - 12 oz bottles"/>
    <n v="14"/>
    <n v="111"/>
    <b v="0"/>
    <x v="29"/>
  </r>
  <r>
    <n v="35"/>
    <s v="Steeleye Stout"/>
    <x v="15"/>
    <x v="0"/>
    <s v="24 - 12 oz bottles"/>
    <n v="18"/>
    <n v="20"/>
    <b v="0"/>
    <x v="32"/>
  </r>
  <r>
    <n v="36"/>
    <s v="Inlagd Sill"/>
    <x v="16"/>
    <x v="4"/>
    <s v="24 - 250 g  jars"/>
    <n v="19"/>
    <n v="112"/>
    <b v="0"/>
    <x v="33"/>
  </r>
  <r>
    <n v="37"/>
    <s v="Gravad lax"/>
    <x v="16"/>
    <x v="4"/>
    <s v="12 - 500 g pkgs."/>
    <n v="26"/>
    <n v="11"/>
    <b v="0"/>
    <x v="34"/>
  </r>
  <r>
    <n v="38"/>
    <s v="Côte de Blaye"/>
    <x v="17"/>
    <x v="0"/>
    <s v="12 - 75 cl bottles"/>
    <n v="263.5"/>
    <n v="17"/>
    <b v="0"/>
    <x v="35"/>
  </r>
  <r>
    <n v="39"/>
    <s v="Chartreuse verte"/>
    <x v="17"/>
    <x v="0"/>
    <s v="750 cc per bottle"/>
    <n v="18"/>
    <n v="69"/>
    <b v="0"/>
    <x v="36"/>
  </r>
  <r>
    <n v="40"/>
    <s v="Boston Crab Meat"/>
    <x v="18"/>
    <x v="4"/>
    <s v="24 - 4 oz tins"/>
    <n v="18.399999999999999"/>
    <n v="123"/>
    <b v="0"/>
    <x v="37"/>
  </r>
  <r>
    <n v="41"/>
    <s v="Jack's New England Clam Chowder"/>
    <x v="18"/>
    <x v="4"/>
    <s v="12 - 12 oz cans"/>
    <n v="9.65"/>
    <n v="85"/>
    <b v="0"/>
    <x v="38"/>
  </r>
  <r>
    <n v="42"/>
    <s v="Singaporean Hokkien Fried Mee"/>
    <x v="19"/>
    <x v="7"/>
    <s v="32 - 1 kg pkgs."/>
    <n v="14"/>
    <n v="26"/>
    <b v="1"/>
    <x v="39"/>
  </r>
  <r>
    <n v="43"/>
    <s v="Ipoh Coffee"/>
    <x v="19"/>
    <x v="0"/>
    <s v="16 - 500 g tins"/>
    <n v="46"/>
    <n v="17"/>
    <b v="0"/>
    <x v="40"/>
  </r>
  <r>
    <n v="44"/>
    <s v="Gula Malacca"/>
    <x v="19"/>
    <x v="1"/>
    <s v="20 - 2 kg bags"/>
    <n v="19.45"/>
    <n v="27"/>
    <b v="0"/>
    <x v="41"/>
  </r>
  <r>
    <n v="45"/>
    <s v="Rogede sild"/>
    <x v="20"/>
    <x v="4"/>
    <s v="1k pkg."/>
    <n v="9.5"/>
    <n v="5"/>
    <b v="0"/>
    <x v="42"/>
  </r>
  <r>
    <n v="46"/>
    <s v="Spegesild"/>
    <x v="20"/>
    <x v="4"/>
    <s v="4 - 450 g glasses"/>
    <n v="12"/>
    <n v="95"/>
    <b v="0"/>
    <x v="43"/>
  </r>
  <r>
    <n v="47"/>
    <s v="Zaanse koeken"/>
    <x v="21"/>
    <x v="6"/>
    <s v="10 - 4 oz boxes"/>
    <n v="9.5"/>
    <n v="36"/>
    <b v="0"/>
    <x v="44"/>
  </r>
  <r>
    <n v="48"/>
    <s v="Chocolade"/>
    <x v="21"/>
    <x v="6"/>
    <s v="10 pkgs."/>
    <n v="12.75"/>
    <n v="15"/>
    <b v="0"/>
    <x v="45"/>
  </r>
  <r>
    <n v="49"/>
    <s v="Maxilaku"/>
    <x v="22"/>
    <x v="6"/>
    <s v="24 - 50 g pkgs."/>
    <n v="20"/>
    <n v="10"/>
    <b v="0"/>
    <x v="46"/>
  </r>
  <r>
    <n v="50"/>
    <s v="Valkoinen suklaa"/>
    <x v="22"/>
    <x v="6"/>
    <s v="12 - 100 g bars"/>
    <n v="16.25"/>
    <n v="65"/>
    <b v="0"/>
    <x v="47"/>
  </r>
  <r>
    <n v="51"/>
    <s v="Manjimup Dried Apples"/>
    <x v="23"/>
    <x v="2"/>
    <s v="50 - 300 g pkgs."/>
    <n v="53"/>
    <n v="20"/>
    <b v="0"/>
    <x v="48"/>
  </r>
  <r>
    <n v="52"/>
    <s v="Filo Mix"/>
    <x v="23"/>
    <x v="7"/>
    <s v="16 - 2 kg boxes"/>
    <n v="7"/>
    <n v="38"/>
    <b v="0"/>
    <x v="49"/>
  </r>
  <r>
    <n v="53"/>
    <s v="Perth Pasties"/>
    <x v="23"/>
    <x v="3"/>
    <s v="48 pieces"/>
    <n v="32.799999999999997"/>
    <n v="0"/>
    <b v="1"/>
    <x v="50"/>
  </r>
  <r>
    <n v="54"/>
    <s v="Tourtière"/>
    <x v="24"/>
    <x v="3"/>
    <s v="16 pies"/>
    <n v="7.45"/>
    <n v="21"/>
    <b v="0"/>
    <x v="51"/>
  </r>
  <r>
    <n v="55"/>
    <s v="Pâté chinois"/>
    <x v="24"/>
    <x v="3"/>
    <s v="24 boxes x 2 pies"/>
    <n v="24"/>
    <n v="115"/>
    <b v="0"/>
    <x v="52"/>
  </r>
  <r>
    <n v="56"/>
    <s v="Gnocchi di nonna Alice"/>
    <x v="25"/>
    <x v="7"/>
    <s v="24 - 250 g pkgs."/>
    <n v="38"/>
    <n v="21"/>
    <b v="0"/>
    <x v="53"/>
  </r>
  <r>
    <n v="57"/>
    <s v="Ravioli Angelo"/>
    <x v="25"/>
    <x v="7"/>
    <s v="24 - 250 g pkgs."/>
    <n v="19.5"/>
    <n v="36"/>
    <b v="0"/>
    <x v="54"/>
  </r>
  <r>
    <n v="58"/>
    <s v="Escargots de Bourgogne"/>
    <x v="26"/>
    <x v="4"/>
    <s v="24 pieces"/>
    <n v="13.25"/>
    <n v="62"/>
    <b v="0"/>
    <x v="40"/>
  </r>
  <r>
    <n v="59"/>
    <s v="Raclette Courdavault"/>
    <x v="27"/>
    <x v="5"/>
    <s v="5 kg pkg."/>
    <n v="55"/>
    <n v="79"/>
    <b v="0"/>
    <x v="55"/>
  </r>
  <r>
    <n v="60"/>
    <s v="Camembert Pierrot"/>
    <x v="27"/>
    <x v="5"/>
    <s v="15 - 300 g rounds"/>
    <n v="34"/>
    <n v="19"/>
    <b v="0"/>
    <x v="56"/>
  </r>
  <r>
    <n v="61"/>
    <s v="Sirop d'érable"/>
    <x v="28"/>
    <x v="1"/>
    <s v="24 - 500 ml bottles"/>
    <n v="28.5"/>
    <n v="113"/>
    <b v="0"/>
    <x v="57"/>
  </r>
  <r>
    <n v="62"/>
    <s v="Tarte au sucre"/>
    <x v="28"/>
    <x v="6"/>
    <s v="48 pies"/>
    <n v="49.3"/>
    <n v="17"/>
    <b v="0"/>
    <x v="58"/>
  </r>
  <r>
    <n v="63"/>
    <s v="Vegie-spread"/>
    <x v="6"/>
    <x v="1"/>
    <s v="15 - 625 g jars"/>
    <n v="43.9"/>
    <n v="24"/>
    <b v="0"/>
    <x v="59"/>
  </r>
  <r>
    <n v="64"/>
    <s v="Wimmers gute Semmelknödel"/>
    <x v="11"/>
    <x v="7"/>
    <s v="20 bags x 4 pieces"/>
    <n v="33.25"/>
    <n v="22"/>
    <b v="0"/>
    <x v="60"/>
  </r>
  <r>
    <n v="65"/>
    <s v="Louisiana Fiery Hot Pepper Sauce"/>
    <x v="1"/>
    <x v="1"/>
    <s v="32 - 8 oz bottles"/>
    <n v="21.05"/>
    <n v="76"/>
    <b v="0"/>
    <x v="61"/>
  </r>
  <r>
    <n v="66"/>
    <s v="Louisiana Hot Spiced Okra"/>
    <x v="1"/>
    <x v="1"/>
    <s v="24 - 8 oz jars"/>
    <n v="17"/>
    <n v="4"/>
    <b v="0"/>
    <x v="62"/>
  </r>
  <r>
    <n v="67"/>
    <s v="Laughing Lumberjack Lager"/>
    <x v="15"/>
    <x v="0"/>
    <s v="24 - 12 oz bottles"/>
    <n v="14"/>
    <n v="52"/>
    <b v="0"/>
    <x v="61"/>
  </r>
  <r>
    <n v="68"/>
    <s v="Scottish Longbreads"/>
    <x v="7"/>
    <x v="6"/>
    <s v="10 boxes x 8 pieces"/>
    <n v="12.5"/>
    <n v="6"/>
    <b v="0"/>
    <x v="63"/>
  </r>
  <r>
    <n v="69"/>
    <s v="Gudbrandsdalsost"/>
    <x v="14"/>
    <x v="5"/>
    <s v="10 kg pkg."/>
    <n v="36"/>
    <n v="26"/>
    <b v="0"/>
    <x v="64"/>
  </r>
  <r>
    <n v="70"/>
    <s v="Outback Lager"/>
    <x v="6"/>
    <x v="0"/>
    <s v="24 - 355 ml bottles"/>
    <n v="15"/>
    <n v="15"/>
    <b v="0"/>
    <x v="64"/>
  </r>
  <r>
    <n v="71"/>
    <s v="Flotemysost"/>
    <x v="14"/>
    <x v="5"/>
    <s v="10 - 500 g pkgs."/>
    <n v="21.5"/>
    <n v="26"/>
    <b v="0"/>
    <x v="65"/>
  </r>
  <r>
    <n v="72"/>
    <s v="Mozzarella di Giovanni"/>
    <x v="13"/>
    <x v="5"/>
    <s v="24 - 200 g pkgs."/>
    <n v="34.799999999999997"/>
    <n v="14"/>
    <b v="0"/>
    <x v="66"/>
  </r>
  <r>
    <n v="73"/>
    <s v="Röd Kaviar"/>
    <x v="16"/>
    <x v="4"/>
    <s v="24 - 150 g jars"/>
    <n v="15"/>
    <n v="101"/>
    <b v="0"/>
    <x v="67"/>
  </r>
  <r>
    <n v="74"/>
    <s v="Longlife Tofu"/>
    <x v="3"/>
    <x v="2"/>
    <s v="5 kg pkg."/>
    <n v="10"/>
    <n v="4"/>
    <b v="0"/>
    <x v="68"/>
  </r>
  <r>
    <n v="75"/>
    <s v="Rhönbräu Klosterbier"/>
    <x v="11"/>
    <x v="0"/>
    <s v="24 - 0.5 l bottles"/>
    <n v="7.75"/>
    <n v="125"/>
    <b v="0"/>
    <x v="69"/>
  </r>
  <r>
    <n v="76"/>
    <s v="Lakkalikööri"/>
    <x v="22"/>
    <x v="0"/>
    <s v="500 ml"/>
    <n v="18"/>
    <n v="57"/>
    <b v="0"/>
    <x v="70"/>
  </r>
  <r>
    <n v="77"/>
    <s v="Original Frankfurter grüne Soße"/>
    <x v="11"/>
    <x v="1"/>
    <s v="12 boxes"/>
    <n v="13"/>
    <n v="32"/>
    <b v="0"/>
    <x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47649-C8D7-4423-842B-D2FF1E6F29AB}" name="Tableau croisé dynamique1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2">
  <location ref="A3:B12" firstHeaderRow="1" firstDataRow="1" firstDataCol="1"/>
  <pivotFields count="9">
    <pivotField showAll="0"/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 sortType="ascending">
      <items count="17">
        <item m="1" x="8"/>
        <item m="1" x="9"/>
        <item m="1" x="14"/>
        <item m="1" x="13"/>
        <item m="1" x="15"/>
        <item m="1" x="11"/>
        <item m="1" x="10"/>
        <item m="1" x="12"/>
        <item x="0"/>
        <item x="3"/>
        <item x="6"/>
        <item x="2"/>
        <item x="1"/>
        <item x="4"/>
        <item x="5"/>
        <item x="7"/>
        <item t="default"/>
      </items>
    </pivotField>
    <pivotField showAll="0"/>
    <pivotField showAll="0"/>
    <pivotField dataField="1" showAll="0"/>
    <pivotField showAll="0"/>
    <pivotField numFmtId="14" showAll="0">
      <items count="73">
        <item x="3"/>
        <item x="8"/>
        <item x="17"/>
        <item x="37"/>
        <item x="67"/>
        <item x="24"/>
        <item x="63"/>
        <item x="70"/>
        <item x="61"/>
        <item x="66"/>
        <item x="15"/>
        <item x="29"/>
        <item x="21"/>
        <item x="49"/>
        <item x="27"/>
        <item x="42"/>
        <item x="45"/>
        <item x="18"/>
        <item x="2"/>
        <item x="9"/>
        <item x="52"/>
        <item x="46"/>
        <item x="56"/>
        <item x="26"/>
        <item x="30"/>
        <item x="40"/>
        <item x="47"/>
        <item x="31"/>
        <item x="59"/>
        <item x="64"/>
        <item x="35"/>
        <item x="20"/>
        <item x="58"/>
        <item x="38"/>
        <item x="7"/>
        <item x="36"/>
        <item x="5"/>
        <item x="34"/>
        <item x="71"/>
        <item x="16"/>
        <item x="11"/>
        <item x="69"/>
        <item x="53"/>
        <item x="68"/>
        <item x="14"/>
        <item x="25"/>
        <item x="19"/>
        <item x="50"/>
        <item x="12"/>
        <item x="28"/>
        <item x="60"/>
        <item x="54"/>
        <item x="0"/>
        <item x="43"/>
        <item x="57"/>
        <item x="48"/>
        <item x="32"/>
        <item x="39"/>
        <item x="55"/>
        <item x="10"/>
        <item x="44"/>
        <item x="51"/>
        <item x="33"/>
        <item x="13"/>
        <item x="6"/>
        <item x="4"/>
        <item x="65"/>
        <item x="1"/>
        <item x="62"/>
        <item x="41"/>
        <item x="22"/>
        <item x="23"/>
        <item t="default"/>
      </items>
    </pivotField>
  </pivotFields>
  <rowFields count="1">
    <field x="3"/>
  </rowFields>
  <rowItems count="9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me de Nb en stock" fld="6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8"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FournisseurID1" xr10:uid="{A0CA81CC-0843-48FE-95A2-4C554BEAC19B}" sourceName="FournisseurID">
  <pivotTables>
    <pivotTable tabId="9" name="Tableau croisé dynamique1"/>
  </pivotTables>
  <data>
    <tabular pivotCacheId="2125038334">
      <items count="2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FournisseurID" xr10:uid="{9DEC8F52-96CF-4CD3-A6CB-EE050764678C}" sourceName="FournisseurID">
  <extLst>
    <x:ext xmlns:x15="http://schemas.microsoft.com/office/spreadsheetml/2010/11/main" uri="{2F2917AC-EB37-4324-AD4E-5DD8C200BD13}">
      <x15:tableSlicerCache tableId="4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ID" xr10:uid="{2B190B9B-206A-43D4-97CC-BB89D28D5BE8}" sourceName="CategoryID">
  <extLst>
    <x:ext xmlns:x15="http://schemas.microsoft.com/office/spreadsheetml/2010/11/main" uri="{2F2917AC-EB37-4324-AD4E-5DD8C200BD13}">
      <x15:tableSlicerCache tableId="4" column="4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ente_terminée" xr10:uid="{C73EDC2F-2383-481B-AB28-5C0F0EEE6227}" sourceName="Vente terminée">
  <extLst>
    <x:ext xmlns:x15="http://schemas.microsoft.com/office/spreadsheetml/2010/11/main" uri="{2F2917AC-EB37-4324-AD4E-5DD8C200BD13}">
      <x15:tableSlicerCache tableId="4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urnisseurID" xr10:uid="{7CECFC30-1899-45A8-9A98-104A652E9634}" cache="Segment_FournisseurID" caption="FournisseurID" columnCount="4" rowHeight="234950"/>
  <slicer name="CategoryID" xr10:uid="{D36ED861-E86E-4D0E-9530-D9A68092933E}" cache="Segment_CategoryID" caption="CategoryID" columnCount="2" rowHeight="234950"/>
  <slicer name="Vente terminée" xr10:uid="{107BD603-7313-45CF-9575-1159C53C79F2}" cache="Segment_Vente_terminée" caption="Vente terminée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urnisseurID 1" xr10:uid="{59625B7A-F94C-412C-B5C9-C0AC1BE5C257}" cache="Segment_FournisseurID1" caption="FournisseurID" columnCount="3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17154C9-EC33-40EE-BF57-A9731ACE1B10}" name="tbl_source" displayName="tbl_source" ref="A3:I80" totalsRowShown="0">
  <autoFilter ref="A3:I80" xr:uid="{E17154C9-EC33-40EE-BF57-A9731ACE1B10}"/>
  <tableColumns count="9">
    <tableColumn id="1" xr3:uid="{6F6E425B-0657-4EF0-91EE-905C7D7B0964}" name="ProductID"/>
    <tableColumn id="2" xr3:uid="{221B1791-359C-4895-AA5F-150D73BDF99F}" name="Nom Produit"/>
    <tableColumn id="3" xr3:uid="{537B47ED-73A7-41E4-AD4E-234EA7646D9F}" name="FournisseurID"/>
    <tableColumn id="4" xr3:uid="{D24693AD-4BA6-49BC-97A8-E310BCE71352}" name="CategoryID"/>
    <tableColumn id="5" xr3:uid="{11D668B1-6683-4A4D-84CF-8BDD82D623D7}" name="Packaging"/>
    <tableColumn id="6" xr3:uid="{7C933599-A6F8-4B1D-999F-DC3249E5940D}" name="Prix Unit."/>
    <tableColumn id="7" xr3:uid="{FEE07A56-4057-4F67-A158-B0565DBEE28E}" name="Nb en stock"/>
    <tableColumn id="8" xr3:uid="{261FBE8F-6D74-4EE1-9598-ADC0483F56ED}" name="Vente terminée"/>
    <tableColumn id="9" xr3:uid="{AC72146C-C986-4C9A-AA77-AEE5B020D956}" name="1ère vente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9DD96-7E94-4166-AD40-707F5012D470}" name="Tableau1" displayName="Tableau1" ref="H6:M20" headerRowDxfId="26" dataDxfId="25">
  <autoFilter ref="H6:M20" xr:uid="{D569DD96-7E94-4166-AD40-707F5012D470}"/>
  <tableColumns count="6">
    <tableColumn id="1" xr3:uid="{AE80E8C9-B0CC-4FA0-BFC4-592C693D6812}" name="Magasin" dataDxfId="24" totalsRowDxfId="23"/>
    <tableColumn id="2" xr3:uid="{B55A2396-C129-469D-829A-56950CC93AB8}" name="jan" dataDxfId="22" totalsRowDxfId="21"/>
    <tableColumn id="3" xr3:uid="{D0BE40B0-19E1-4A01-83D3-8CB3228CE608}" name="feb" dataDxfId="20" totalsRowDxfId="19"/>
    <tableColumn id="4" xr3:uid="{51816DCD-6B7C-4C57-BDEC-3614D751FED1}" name="mar" dataDxfId="18" totalsRowDxfId="17"/>
    <tableColumn id="5" xr3:uid="{2B060022-22C2-430B-89F5-F42D26040D8C}" name="TOTAL" dataDxfId="16" totalsRowDxfId="15">
      <calculatedColumnFormula>SUM(Tableau1[[#This Row],[jan]:[mar]])</calculatedColumnFormula>
    </tableColumn>
    <tableColumn id="6" xr3:uid="{AEB35FE4-6E2C-4A39-9155-4A8035F3D378}" name="TOTAL TTC" dataDxfId="14" totalsRowDxfId="13">
      <calculatedColumnFormula>Tableau1[[#This Row],[TOTAL]]*(1+tauxTVA)</calculatedColumnFormula>
    </tableColumn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746353-FE62-418A-83D1-EA73FAD71687}" name="Tableau13" displayName="Tableau13" ref="H6:M20" totalsRowShown="0" headerRowDxfId="12" dataDxfId="11">
  <autoFilter ref="H6:M20" xr:uid="{D569DD96-7E94-4166-AD40-707F5012D470}"/>
  <tableColumns count="6">
    <tableColumn id="1" xr3:uid="{6BBAD2A5-D692-4346-ABF3-2309607C3F0C}" name="Magasin" dataDxfId="10"/>
    <tableColumn id="2" xr3:uid="{63DB10A9-6355-4D24-B42C-FC0AAE35C843}" name="jan" dataDxfId="9"/>
    <tableColumn id="3" xr3:uid="{B84DCFBD-ED24-4EB8-AB3F-ABD1279BD9C2}" name="feb" dataDxfId="8"/>
    <tableColumn id="4" xr3:uid="{4196ADD2-094F-4A0E-8931-8BBCF687BB55}" name="mar" dataDxfId="7"/>
    <tableColumn id="5" xr3:uid="{525DF95B-A606-4BAF-B228-5E46DFD65780}" name="TOTAL" dataDxfId="6">
      <calculatedColumnFormula>SUM(Tableau13[[#This Row],[jan]:[mar]])</calculatedColumnFormula>
    </tableColumn>
    <tableColumn id="6" xr3:uid="{E7E47AAF-63B5-4F5F-B938-466847045007}" name="TOTAL TTC" dataDxfId="5">
      <calculatedColumnFormula>Tableau13[[#This Row],[TOTAL]]*(1+tauxTVA)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45B7B5-DD15-4236-806D-FB656A9F7375}" name="Tableau4" displayName="Tableau4" ref="A3:I80" totalsRowShown="0">
  <autoFilter ref="A3:I80" xr:uid="{3A45B7B5-DD15-4236-806D-FB656A9F7375}"/>
  <tableColumns count="9">
    <tableColumn id="1" xr3:uid="{F10F45D0-C845-4F83-8F93-D3C76493077C}" name="ProductID"/>
    <tableColumn id="2" xr3:uid="{C10F7096-2813-44CF-82EE-2E088EDADE54}" name="Nom Produit"/>
    <tableColumn id="3" xr3:uid="{9AFF89D1-E829-4FE3-96FC-8E59172E0FDC}" name="FournisseurID"/>
    <tableColumn id="4" xr3:uid="{1A401DFA-4578-42F0-BE02-DC5C8EA864DB}" name="CategoryID"/>
    <tableColumn id="5" xr3:uid="{3F1D9639-FE26-4982-9B84-2FCDA80BEBFF}" name="Packaging"/>
    <tableColumn id="6" xr3:uid="{917CFC74-9223-4CC1-BDBC-F9142802C7B9}" name="Prix Unit."/>
    <tableColumn id="7" xr3:uid="{DACAFFEA-39F7-46B3-82FC-F5371F54360A}" name="Nb en stock"/>
    <tableColumn id="8" xr3:uid="{B41947D3-0885-4761-9E13-59F6C6F97B4A}" name="Vente terminée"/>
    <tableColumn id="9" xr3:uid="{79A2C80D-C2A5-43FD-BB36-DA968D9E5E2C}" name="1ère vente" dataDxfId="4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C95BAE-9A60-4859-8EE3-1C868C0B71E9}" name="tbl_cat" displayName="tbl_cat" ref="A4:A12" totalsRowShown="0">
  <autoFilter ref="A4:A12" xr:uid="{03C95BAE-9A60-4859-8EE3-1C868C0B71E9}"/>
  <sortState xmlns:xlrd2="http://schemas.microsoft.com/office/spreadsheetml/2017/richdata2" ref="A5:A9">
    <sortCondition ref="A4:A9"/>
  </sortState>
  <tableColumns count="1">
    <tableColumn id="4" xr3:uid="{D8B8D22B-678E-4637-8D0A-E7739569A3A8}" name="Category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635F40-F5CE-4546-957C-E7ED5F5D46CB}" name="tbl_source4" displayName="tbl_source4" ref="A3:I80" totalsRowShown="0">
  <tableColumns count="9">
    <tableColumn id="1" xr3:uid="{307BFF46-95D4-4F9F-A403-3714C341324D}" name="ProductID"/>
    <tableColumn id="2" xr3:uid="{2968DE0F-B517-488F-BE17-9C41E0236D7B}" name="Nom Produit"/>
    <tableColumn id="3" xr3:uid="{95BCC208-D660-4866-88A8-BCB3B5128DBF}" name="FournisseurID"/>
    <tableColumn id="4" xr3:uid="{629AAA9C-862E-4C0B-89DA-94D229400D7C}" name="CategoryID"/>
    <tableColumn id="5" xr3:uid="{BCBCB8C7-3D6E-4945-8A95-4054AA4BCC92}" name="Packaging"/>
    <tableColumn id="6" xr3:uid="{2D56ABC8-FCED-44D0-B98D-6BB7D1C579A6}" name="Prix Unit."/>
    <tableColumn id="7" xr3:uid="{932EF2B6-27F5-4FB8-ADDF-C1A79D839B47}" name="Nb en stock"/>
    <tableColumn id="8" xr3:uid="{F8C11B06-0259-4E0C-8AA4-41BCCC20BBC5}" name="Vente terminée"/>
    <tableColumn id="9" xr3:uid="{E498E570-F8EA-4927-8898-0186B30D6180}" name="1ère vente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22802F-21D8-47C2-BCEB-17795F717561}" name="tbl_ex8" displayName="tbl_ex8" ref="A3:I80" totalsRowShown="0">
  <tableColumns count="9">
    <tableColumn id="1" xr3:uid="{799963FA-EC72-403C-854D-30E3AC4FDF24}" name="ProductID"/>
    <tableColumn id="2" xr3:uid="{53CE8BF5-20D8-4D1D-B792-1F0BAE9D774E}" name="Nom Produit"/>
    <tableColumn id="3" xr3:uid="{A15548F4-7A34-4923-A6BA-FF9D72D0E170}" name="FournisseurID"/>
    <tableColumn id="4" xr3:uid="{E5D76279-4558-4857-A8BF-BC16F8CD104A}" name="CategoryID"/>
    <tableColumn id="5" xr3:uid="{6EA5059B-CEA7-4BF3-9E53-A8B28A77E0C6}" name="Packaging"/>
    <tableColumn id="6" xr3:uid="{CD235F20-F00B-40F9-B735-D6616AD0D1F8}" name="Prix Unit."/>
    <tableColumn id="7" xr3:uid="{B11D6643-2C66-49F2-B02B-09313626E7C3}" name="Nb en stock"/>
    <tableColumn id="8" xr3:uid="{20EF1D02-8E09-49EC-BA9C-F597FDC8B82B}" name="Vente terminée"/>
    <tableColumn id="9" xr3:uid="{3F61D112-0A72-4725-8A59-D3F7A9CB42C6}" name="1ère ven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1ère_vente" xr10:uid="{13C9E9EB-E56B-472E-AEE9-95C27ADEFF35}" sourceName="1ère vente">
  <pivotTables>
    <pivotTable tabId="9" name="Tableau croisé dynamique1"/>
  </pivotTables>
  <state minimalRefreshVersion="6" lastRefreshVersion="6" pivotCacheId="2125038334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1ère vente" xr10:uid="{B1C7FDB8-46B4-42ED-BCE8-635F0E566AD5}" cache="ChronologieNative_1ère_vente" caption="1ère vente" level="1" selectionLevel="1" scrollPosition="2025-01-01T00:00:00"/>
</timeline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0D85DFE-AF0C-4DB2-81AB-603AEDCB1588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C6F0A93-9424-40D9-B276-9CFCED1ED391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workbookViewId="0">
      <selection activeCell="B17" sqref="A1:I78"/>
    </sheetView>
  </sheetViews>
  <sheetFormatPr baseColWidth="10" defaultColWidth="8.85546875" defaultRowHeight="15" x14ac:dyDescent="0.25"/>
  <cols>
    <col min="1" max="1" width="9.85546875" bestFit="1" customWidth="1"/>
    <col min="2" max="2" width="31.85546875" bestFit="1" customWidth="1"/>
    <col min="3" max="3" width="10.140625" bestFit="1" customWidth="1"/>
    <col min="4" max="4" width="10.85546875" bestFit="1" customWidth="1"/>
    <col min="5" max="5" width="19.28515625" bestFit="1" customWidth="1"/>
    <col min="7" max="7" width="12" bestFit="1" customWidth="1"/>
    <col min="8" max="8" width="12.5703125" bestFit="1" customWidth="1"/>
    <col min="9" max="9" width="11.42578125" style="1" bestFit="1" customWidth="1"/>
    <col min="11" max="11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1</v>
      </c>
      <c r="D2" t="s">
        <v>197</v>
      </c>
      <c r="E2" t="s">
        <v>10</v>
      </c>
      <c r="F2">
        <v>18</v>
      </c>
      <c r="G2">
        <v>39</v>
      </c>
      <c r="H2" t="b">
        <v>0</v>
      </c>
      <c r="I2" s="1">
        <v>45953</v>
      </c>
    </row>
    <row r="3" spans="1:9" x14ac:dyDescent="0.25">
      <c r="A3">
        <v>2</v>
      </c>
      <c r="B3" t="s">
        <v>11</v>
      </c>
      <c r="C3">
        <v>1</v>
      </c>
      <c r="D3" t="s">
        <v>197</v>
      </c>
      <c r="E3" t="s">
        <v>12</v>
      </c>
      <c r="F3">
        <v>19</v>
      </c>
      <c r="G3">
        <v>17</v>
      </c>
      <c r="H3" t="b">
        <v>0</v>
      </c>
      <c r="I3" s="1">
        <v>46007</v>
      </c>
    </row>
    <row r="4" spans="1:9" x14ac:dyDescent="0.25">
      <c r="A4">
        <v>3</v>
      </c>
      <c r="B4" t="s">
        <v>13</v>
      </c>
      <c r="C4">
        <v>1</v>
      </c>
      <c r="D4" t="s">
        <v>198</v>
      </c>
      <c r="E4" t="s">
        <v>14</v>
      </c>
      <c r="F4">
        <v>10</v>
      </c>
      <c r="G4">
        <v>13</v>
      </c>
      <c r="H4" t="b">
        <v>0</v>
      </c>
      <c r="I4" s="1">
        <v>45752</v>
      </c>
    </row>
    <row r="5" spans="1:9" x14ac:dyDescent="0.25">
      <c r="A5">
        <v>4</v>
      </c>
      <c r="B5" t="s">
        <v>15</v>
      </c>
      <c r="C5">
        <v>2</v>
      </c>
      <c r="D5" t="s">
        <v>198</v>
      </c>
      <c r="E5" t="s">
        <v>16</v>
      </c>
      <c r="F5">
        <v>22</v>
      </c>
      <c r="G5">
        <v>53</v>
      </c>
      <c r="H5" t="b">
        <v>0</v>
      </c>
      <c r="I5" s="1">
        <v>45659</v>
      </c>
    </row>
    <row r="6" spans="1:9" x14ac:dyDescent="0.25">
      <c r="A6">
        <v>5</v>
      </c>
      <c r="B6" t="s">
        <v>17</v>
      </c>
      <c r="C6">
        <v>2</v>
      </c>
      <c r="D6" t="s">
        <v>198</v>
      </c>
      <c r="E6" t="s">
        <v>18</v>
      </c>
      <c r="F6">
        <v>21.35</v>
      </c>
      <c r="G6">
        <v>0</v>
      </c>
      <c r="H6" t="b">
        <v>1</v>
      </c>
      <c r="I6" s="1">
        <v>46002</v>
      </c>
    </row>
    <row r="7" spans="1:9" x14ac:dyDescent="0.25">
      <c r="A7">
        <v>6</v>
      </c>
      <c r="B7" t="s">
        <v>19</v>
      </c>
      <c r="C7">
        <v>3</v>
      </c>
      <c r="D7" t="s">
        <v>198</v>
      </c>
      <c r="E7" t="s">
        <v>20</v>
      </c>
      <c r="F7">
        <v>25</v>
      </c>
      <c r="G7">
        <v>120</v>
      </c>
      <c r="H7" t="b">
        <v>0</v>
      </c>
      <c r="I7" s="1">
        <v>45869</v>
      </c>
    </row>
    <row r="8" spans="1:9" x14ac:dyDescent="0.25">
      <c r="A8">
        <v>7</v>
      </c>
      <c r="B8" t="s">
        <v>21</v>
      </c>
      <c r="C8">
        <v>3</v>
      </c>
      <c r="D8" t="s">
        <v>204</v>
      </c>
      <c r="E8" t="s">
        <v>22</v>
      </c>
      <c r="F8">
        <v>30</v>
      </c>
      <c r="G8">
        <v>15</v>
      </c>
      <c r="H8" t="b">
        <v>0</v>
      </c>
      <c r="I8" s="1">
        <v>45995</v>
      </c>
    </row>
    <row r="9" spans="1:9" x14ac:dyDescent="0.25">
      <c r="A9">
        <v>8</v>
      </c>
      <c r="B9" t="s">
        <v>23</v>
      </c>
      <c r="C9">
        <v>3</v>
      </c>
      <c r="D9" t="s">
        <v>198</v>
      </c>
      <c r="E9" t="s">
        <v>24</v>
      </c>
      <c r="F9">
        <v>40</v>
      </c>
      <c r="G9">
        <v>6</v>
      </c>
      <c r="H9" t="b">
        <v>0</v>
      </c>
      <c r="I9" s="1">
        <v>45857</v>
      </c>
    </row>
    <row r="10" spans="1:9" x14ac:dyDescent="0.25">
      <c r="A10">
        <v>9</v>
      </c>
      <c r="B10" t="s">
        <v>25</v>
      </c>
      <c r="C10">
        <v>4</v>
      </c>
      <c r="D10" t="s">
        <v>202</v>
      </c>
      <c r="E10" t="s">
        <v>26</v>
      </c>
      <c r="F10">
        <v>97</v>
      </c>
      <c r="G10">
        <v>29</v>
      </c>
      <c r="H10" t="b">
        <v>1</v>
      </c>
      <c r="I10" s="1">
        <v>45663</v>
      </c>
    </row>
    <row r="11" spans="1:9" x14ac:dyDescent="0.25">
      <c r="A11">
        <v>10</v>
      </c>
      <c r="B11" t="s">
        <v>27</v>
      </c>
      <c r="C11">
        <v>4</v>
      </c>
      <c r="D11" t="s">
        <v>203</v>
      </c>
      <c r="E11" t="s">
        <v>28</v>
      </c>
      <c r="F11">
        <v>31</v>
      </c>
      <c r="G11">
        <v>31</v>
      </c>
      <c r="H11" t="b">
        <v>0</v>
      </c>
      <c r="I11" s="1">
        <v>45757</v>
      </c>
    </row>
    <row r="12" spans="1:9" x14ac:dyDescent="0.25">
      <c r="A12">
        <v>11</v>
      </c>
      <c r="B12" t="s">
        <v>29</v>
      </c>
      <c r="C12">
        <v>5</v>
      </c>
      <c r="D12" t="s">
        <v>200</v>
      </c>
      <c r="E12" t="s">
        <v>30</v>
      </c>
      <c r="F12">
        <v>21</v>
      </c>
      <c r="G12">
        <v>22</v>
      </c>
      <c r="H12" t="b">
        <v>0</v>
      </c>
      <c r="I12" s="1">
        <v>45976</v>
      </c>
    </row>
    <row r="13" spans="1:9" x14ac:dyDescent="0.25">
      <c r="A13">
        <v>12</v>
      </c>
      <c r="B13" t="s">
        <v>31</v>
      </c>
      <c r="C13">
        <v>5</v>
      </c>
      <c r="D13" t="s">
        <v>200</v>
      </c>
      <c r="E13" t="s">
        <v>32</v>
      </c>
      <c r="F13">
        <v>38</v>
      </c>
      <c r="G13">
        <v>86</v>
      </c>
      <c r="H13" t="b">
        <v>0</v>
      </c>
      <c r="I13" s="1">
        <v>45894</v>
      </c>
    </row>
    <row r="14" spans="1:9" x14ac:dyDescent="0.25">
      <c r="A14">
        <v>13</v>
      </c>
      <c r="B14" t="s">
        <v>33</v>
      </c>
      <c r="C14">
        <v>6</v>
      </c>
      <c r="D14" t="s">
        <v>203</v>
      </c>
      <c r="E14" t="s">
        <v>34</v>
      </c>
      <c r="F14">
        <v>6</v>
      </c>
      <c r="G14">
        <v>24</v>
      </c>
      <c r="H14" t="b">
        <v>0</v>
      </c>
      <c r="I14" s="1">
        <v>45936</v>
      </c>
    </row>
    <row r="15" spans="1:9" x14ac:dyDescent="0.25">
      <c r="A15">
        <v>14</v>
      </c>
      <c r="B15" t="s">
        <v>35</v>
      </c>
      <c r="C15">
        <v>6</v>
      </c>
      <c r="D15" t="s">
        <v>204</v>
      </c>
      <c r="E15" t="s">
        <v>36</v>
      </c>
      <c r="F15">
        <v>23.25</v>
      </c>
      <c r="G15">
        <v>35</v>
      </c>
      <c r="H15" t="b">
        <v>0</v>
      </c>
      <c r="I15" s="1">
        <v>45994</v>
      </c>
    </row>
    <row r="16" spans="1:9" x14ac:dyDescent="0.25">
      <c r="A16">
        <v>15</v>
      </c>
      <c r="B16" t="s">
        <v>37</v>
      </c>
      <c r="C16">
        <v>6</v>
      </c>
      <c r="D16" t="s">
        <v>198</v>
      </c>
      <c r="E16" t="s">
        <v>38</v>
      </c>
      <c r="F16">
        <v>15.5</v>
      </c>
      <c r="G16">
        <v>39</v>
      </c>
      <c r="H16" t="b">
        <v>0</v>
      </c>
      <c r="I16" s="1">
        <v>45910</v>
      </c>
    </row>
    <row r="17" spans="1:9" x14ac:dyDescent="0.25">
      <c r="A17">
        <v>16</v>
      </c>
      <c r="B17" t="s">
        <v>39</v>
      </c>
      <c r="C17">
        <v>7</v>
      </c>
      <c r="D17" t="s">
        <v>199</v>
      </c>
      <c r="E17" t="s">
        <v>40</v>
      </c>
      <c r="F17">
        <v>17.45</v>
      </c>
      <c r="G17">
        <v>29</v>
      </c>
      <c r="H17" t="b">
        <v>0</v>
      </c>
      <c r="I17" s="1">
        <v>45722</v>
      </c>
    </row>
    <row r="18" spans="1:9" x14ac:dyDescent="0.25">
      <c r="A18">
        <v>17</v>
      </c>
      <c r="B18" t="s">
        <v>41</v>
      </c>
      <c r="C18">
        <v>7</v>
      </c>
      <c r="D18" t="s">
        <v>202</v>
      </c>
      <c r="E18" t="s">
        <v>42</v>
      </c>
      <c r="F18">
        <v>39</v>
      </c>
      <c r="G18">
        <v>0</v>
      </c>
      <c r="H18" t="b">
        <v>1</v>
      </c>
      <c r="I18" s="1">
        <v>45884</v>
      </c>
    </row>
    <row r="19" spans="1:9" x14ac:dyDescent="0.25">
      <c r="A19">
        <v>18</v>
      </c>
      <c r="B19" t="s">
        <v>43</v>
      </c>
      <c r="C19">
        <v>7</v>
      </c>
      <c r="D19" t="s">
        <v>203</v>
      </c>
      <c r="E19" t="s">
        <v>44</v>
      </c>
      <c r="F19">
        <v>62.5</v>
      </c>
      <c r="G19">
        <v>42</v>
      </c>
      <c r="H19" t="b">
        <v>0</v>
      </c>
      <c r="I19" s="1">
        <v>45679</v>
      </c>
    </row>
    <row r="20" spans="1:9" x14ac:dyDescent="0.25">
      <c r="A20">
        <v>19</v>
      </c>
      <c r="B20" t="s">
        <v>45</v>
      </c>
      <c r="C20">
        <v>8</v>
      </c>
      <c r="D20" t="s">
        <v>199</v>
      </c>
      <c r="E20" t="s">
        <v>46</v>
      </c>
      <c r="F20">
        <v>9.1999999999999993</v>
      </c>
      <c r="G20">
        <v>25</v>
      </c>
      <c r="H20" t="b">
        <v>0</v>
      </c>
      <c r="I20" s="1">
        <v>45739</v>
      </c>
    </row>
    <row r="21" spans="1:9" x14ac:dyDescent="0.25">
      <c r="A21">
        <v>20</v>
      </c>
      <c r="B21" t="s">
        <v>47</v>
      </c>
      <c r="C21">
        <v>8</v>
      </c>
      <c r="D21" t="s">
        <v>199</v>
      </c>
      <c r="E21" t="s">
        <v>48</v>
      </c>
      <c r="F21">
        <v>81</v>
      </c>
      <c r="G21">
        <v>40</v>
      </c>
      <c r="H21" t="b">
        <v>0</v>
      </c>
      <c r="I21" s="1">
        <v>45914</v>
      </c>
    </row>
    <row r="22" spans="1:9" x14ac:dyDescent="0.25">
      <c r="A22">
        <v>21</v>
      </c>
      <c r="B22" t="s">
        <v>49</v>
      </c>
      <c r="C22">
        <v>8</v>
      </c>
      <c r="D22" t="s">
        <v>199</v>
      </c>
      <c r="E22" t="s">
        <v>50</v>
      </c>
      <c r="F22">
        <v>10</v>
      </c>
      <c r="G22">
        <v>3</v>
      </c>
      <c r="H22" t="b">
        <v>0</v>
      </c>
      <c r="I22" s="1">
        <v>45844</v>
      </c>
    </row>
    <row r="23" spans="1:9" x14ac:dyDescent="0.25">
      <c r="A23">
        <v>22</v>
      </c>
      <c r="B23" t="s">
        <v>51</v>
      </c>
      <c r="C23">
        <v>9</v>
      </c>
      <c r="D23" t="s">
        <v>201</v>
      </c>
      <c r="E23" t="s">
        <v>52</v>
      </c>
      <c r="F23">
        <v>21</v>
      </c>
      <c r="G23">
        <v>104</v>
      </c>
      <c r="H23" t="b">
        <v>0</v>
      </c>
      <c r="I23" s="1">
        <v>45724</v>
      </c>
    </row>
    <row r="24" spans="1:9" x14ac:dyDescent="0.25">
      <c r="A24">
        <v>23</v>
      </c>
      <c r="B24" t="s">
        <v>53</v>
      </c>
      <c r="C24">
        <v>9</v>
      </c>
      <c r="D24" t="s">
        <v>201</v>
      </c>
      <c r="E24" t="s">
        <v>54</v>
      </c>
      <c r="F24">
        <v>9</v>
      </c>
      <c r="G24">
        <v>61</v>
      </c>
      <c r="H24" t="b">
        <v>0</v>
      </c>
      <c r="I24" s="1">
        <v>46011</v>
      </c>
    </row>
    <row r="25" spans="1:9" x14ac:dyDescent="0.25">
      <c r="A25">
        <v>24</v>
      </c>
      <c r="B25" t="s">
        <v>55</v>
      </c>
      <c r="C25">
        <v>10</v>
      </c>
      <c r="D25" t="s">
        <v>197</v>
      </c>
      <c r="E25" t="s">
        <v>56</v>
      </c>
      <c r="F25">
        <v>4.5</v>
      </c>
      <c r="G25">
        <v>20</v>
      </c>
      <c r="H25" t="b">
        <v>1</v>
      </c>
      <c r="I25" s="1">
        <v>46018</v>
      </c>
    </row>
    <row r="26" spans="1:9" x14ac:dyDescent="0.25">
      <c r="A26">
        <v>25</v>
      </c>
      <c r="B26" t="s">
        <v>57</v>
      </c>
      <c r="C26">
        <v>11</v>
      </c>
      <c r="D26" t="s">
        <v>199</v>
      </c>
      <c r="E26" t="s">
        <v>58</v>
      </c>
      <c r="F26">
        <v>14</v>
      </c>
      <c r="G26">
        <v>76</v>
      </c>
      <c r="H26" t="b">
        <v>0</v>
      </c>
      <c r="I26" s="1">
        <v>45692</v>
      </c>
    </row>
    <row r="27" spans="1:9" x14ac:dyDescent="0.25">
      <c r="A27">
        <v>26</v>
      </c>
      <c r="B27" t="s">
        <v>59</v>
      </c>
      <c r="C27">
        <v>11</v>
      </c>
      <c r="D27" t="s">
        <v>199</v>
      </c>
      <c r="E27" t="s">
        <v>60</v>
      </c>
      <c r="F27">
        <v>31.23</v>
      </c>
      <c r="G27">
        <v>15</v>
      </c>
      <c r="H27" t="b">
        <v>0</v>
      </c>
      <c r="I27" s="1">
        <v>45911</v>
      </c>
    </row>
    <row r="28" spans="1:9" x14ac:dyDescent="0.25">
      <c r="A28">
        <v>27</v>
      </c>
      <c r="B28" t="s">
        <v>61</v>
      </c>
      <c r="C28">
        <v>11</v>
      </c>
      <c r="D28" t="s">
        <v>199</v>
      </c>
      <c r="E28" t="s">
        <v>62</v>
      </c>
      <c r="F28">
        <v>43.9</v>
      </c>
      <c r="G28">
        <v>49</v>
      </c>
      <c r="H28" t="b">
        <v>0</v>
      </c>
      <c r="I28" s="1">
        <v>45784</v>
      </c>
    </row>
    <row r="29" spans="1:9" x14ac:dyDescent="0.25">
      <c r="A29">
        <v>28</v>
      </c>
      <c r="B29" t="s">
        <v>63</v>
      </c>
      <c r="C29">
        <v>12</v>
      </c>
      <c r="D29" t="s">
        <v>204</v>
      </c>
      <c r="E29" t="s">
        <v>64</v>
      </c>
      <c r="F29">
        <v>45.6</v>
      </c>
      <c r="G29">
        <v>26</v>
      </c>
      <c r="H29" t="b">
        <v>1</v>
      </c>
      <c r="I29" s="1">
        <v>45731</v>
      </c>
    </row>
    <row r="30" spans="1:9" x14ac:dyDescent="0.25">
      <c r="A30">
        <v>29</v>
      </c>
      <c r="B30" t="s">
        <v>65</v>
      </c>
      <c r="C30">
        <v>12</v>
      </c>
      <c r="D30" t="s">
        <v>202</v>
      </c>
      <c r="E30" t="s">
        <v>66</v>
      </c>
      <c r="F30">
        <v>123.79</v>
      </c>
      <c r="G30">
        <v>0</v>
      </c>
      <c r="H30" t="b">
        <v>1</v>
      </c>
      <c r="I30" s="1">
        <v>45943</v>
      </c>
    </row>
    <row r="31" spans="1:9" x14ac:dyDescent="0.25">
      <c r="A31">
        <v>30</v>
      </c>
      <c r="B31" t="s">
        <v>67</v>
      </c>
      <c r="C31">
        <v>13</v>
      </c>
      <c r="D31" t="s">
        <v>203</v>
      </c>
      <c r="E31" t="s">
        <v>68</v>
      </c>
      <c r="F31">
        <v>25.89</v>
      </c>
      <c r="G31">
        <v>10</v>
      </c>
      <c r="H31" t="b">
        <v>0</v>
      </c>
      <c r="I31" s="1">
        <v>45723</v>
      </c>
    </row>
    <row r="32" spans="1:9" x14ac:dyDescent="0.25">
      <c r="A32">
        <v>31</v>
      </c>
      <c r="B32" t="s">
        <v>69</v>
      </c>
      <c r="C32">
        <v>14</v>
      </c>
      <c r="D32" t="s">
        <v>200</v>
      </c>
      <c r="E32" t="s">
        <v>70</v>
      </c>
      <c r="F32">
        <v>12.5</v>
      </c>
      <c r="G32">
        <v>0</v>
      </c>
      <c r="H32" t="b">
        <v>0</v>
      </c>
      <c r="I32" s="1">
        <v>45791</v>
      </c>
    </row>
    <row r="33" spans="1:9" x14ac:dyDescent="0.25">
      <c r="A33">
        <v>32</v>
      </c>
      <c r="B33" t="s">
        <v>71</v>
      </c>
      <c r="C33">
        <v>14</v>
      </c>
      <c r="D33" t="s">
        <v>200</v>
      </c>
      <c r="E33" t="s">
        <v>72</v>
      </c>
      <c r="F33">
        <v>32</v>
      </c>
      <c r="G33">
        <v>9</v>
      </c>
      <c r="H33" t="b">
        <v>0</v>
      </c>
      <c r="I33" s="1">
        <v>46011</v>
      </c>
    </row>
    <row r="34" spans="1:9" x14ac:dyDescent="0.25">
      <c r="A34">
        <v>33</v>
      </c>
      <c r="B34" t="s">
        <v>73</v>
      </c>
      <c r="C34">
        <v>15</v>
      </c>
      <c r="D34" t="s">
        <v>200</v>
      </c>
      <c r="E34" t="s">
        <v>74</v>
      </c>
      <c r="F34">
        <v>2.5</v>
      </c>
      <c r="G34">
        <v>112</v>
      </c>
      <c r="H34" t="b">
        <v>0</v>
      </c>
      <c r="I34" s="1">
        <v>45804</v>
      </c>
    </row>
    <row r="35" spans="1:9" x14ac:dyDescent="0.25">
      <c r="A35">
        <v>34</v>
      </c>
      <c r="B35" t="s">
        <v>75</v>
      </c>
      <c r="C35">
        <v>16</v>
      </c>
      <c r="D35" t="s">
        <v>197</v>
      </c>
      <c r="E35" t="s">
        <v>12</v>
      </c>
      <c r="F35">
        <v>14</v>
      </c>
      <c r="G35">
        <v>111</v>
      </c>
      <c r="H35" t="b">
        <v>0</v>
      </c>
      <c r="I35" s="1">
        <v>45723</v>
      </c>
    </row>
    <row r="36" spans="1:9" x14ac:dyDescent="0.25">
      <c r="A36">
        <v>35</v>
      </c>
      <c r="B36" t="s">
        <v>76</v>
      </c>
      <c r="C36">
        <v>16</v>
      </c>
      <c r="D36" t="s">
        <v>197</v>
      </c>
      <c r="E36" t="s">
        <v>12</v>
      </c>
      <c r="F36">
        <v>18</v>
      </c>
      <c r="G36">
        <v>20</v>
      </c>
      <c r="H36" t="b">
        <v>0</v>
      </c>
      <c r="I36" s="1">
        <v>45973</v>
      </c>
    </row>
    <row r="37" spans="1:9" x14ac:dyDescent="0.25">
      <c r="A37">
        <v>36</v>
      </c>
      <c r="B37" t="s">
        <v>77</v>
      </c>
      <c r="C37">
        <v>17</v>
      </c>
      <c r="D37" t="s">
        <v>203</v>
      </c>
      <c r="E37" t="s">
        <v>78</v>
      </c>
      <c r="F37">
        <v>19</v>
      </c>
      <c r="G37">
        <v>112</v>
      </c>
      <c r="H37" t="b">
        <v>0</v>
      </c>
      <c r="I37" s="1">
        <v>45990</v>
      </c>
    </row>
    <row r="38" spans="1:9" x14ac:dyDescent="0.25">
      <c r="A38">
        <v>37</v>
      </c>
      <c r="B38" t="s">
        <v>79</v>
      </c>
      <c r="C38">
        <v>17</v>
      </c>
      <c r="D38" t="s">
        <v>203</v>
      </c>
      <c r="E38" t="s">
        <v>80</v>
      </c>
      <c r="F38">
        <v>26</v>
      </c>
      <c r="G38">
        <v>11</v>
      </c>
      <c r="H38" t="b">
        <v>0</v>
      </c>
      <c r="I38" s="1">
        <v>45870</v>
      </c>
    </row>
    <row r="39" spans="1:9" x14ac:dyDescent="0.25">
      <c r="A39">
        <v>38</v>
      </c>
      <c r="B39" t="s">
        <v>81</v>
      </c>
      <c r="C39">
        <v>18</v>
      </c>
      <c r="D39" t="s">
        <v>197</v>
      </c>
      <c r="E39" t="s">
        <v>82</v>
      </c>
      <c r="F39">
        <v>263.5</v>
      </c>
      <c r="G39">
        <v>17</v>
      </c>
      <c r="H39" t="b">
        <v>0</v>
      </c>
      <c r="I39" s="1">
        <v>45841</v>
      </c>
    </row>
    <row r="40" spans="1:9" x14ac:dyDescent="0.25">
      <c r="A40">
        <v>39</v>
      </c>
      <c r="B40" t="s">
        <v>83</v>
      </c>
      <c r="C40">
        <v>18</v>
      </c>
      <c r="D40" t="s">
        <v>197</v>
      </c>
      <c r="E40" t="s">
        <v>84</v>
      </c>
      <c r="F40">
        <v>18</v>
      </c>
      <c r="G40">
        <v>69</v>
      </c>
      <c r="H40" t="b">
        <v>0</v>
      </c>
      <c r="I40" s="1">
        <v>45860</v>
      </c>
    </row>
    <row r="41" spans="1:9" x14ac:dyDescent="0.25">
      <c r="A41">
        <v>40</v>
      </c>
      <c r="B41" t="s">
        <v>85</v>
      </c>
      <c r="C41">
        <v>19</v>
      </c>
      <c r="D41" t="s">
        <v>203</v>
      </c>
      <c r="E41" t="s">
        <v>86</v>
      </c>
      <c r="F41">
        <v>18.399999999999999</v>
      </c>
      <c r="G41">
        <v>123</v>
      </c>
      <c r="H41" t="b">
        <v>0</v>
      </c>
      <c r="I41" s="1">
        <v>45681</v>
      </c>
    </row>
    <row r="42" spans="1:9" x14ac:dyDescent="0.25">
      <c r="A42">
        <v>41</v>
      </c>
      <c r="B42" t="s">
        <v>87</v>
      </c>
      <c r="C42">
        <v>19</v>
      </c>
      <c r="D42" t="s">
        <v>203</v>
      </c>
      <c r="E42" t="s">
        <v>88</v>
      </c>
      <c r="F42">
        <v>9.65</v>
      </c>
      <c r="G42">
        <v>85</v>
      </c>
      <c r="H42" t="b">
        <v>0</v>
      </c>
      <c r="I42" s="1">
        <v>45856</v>
      </c>
    </row>
    <row r="43" spans="1:9" x14ac:dyDescent="0.25">
      <c r="A43">
        <v>42</v>
      </c>
      <c r="B43" t="s">
        <v>89</v>
      </c>
      <c r="C43">
        <v>20</v>
      </c>
      <c r="D43" t="s">
        <v>201</v>
      </c>
      <c r="E43" t="s">
        <v>90</v>
      </c>
      <c r="F43">
        <v>14</v>
      </c>
      <c r="G43">
        <v>26</v>
      </c>
      <c r="H43" t="b">
        <v>1</v>
      </c>
      <c r="I43" s="1">
        <v>45974</v>
      </c>
    </row>
    <row r="44" spans="1:9" x14ac:dyDescent="0.25">
      <c r="A44">
        <v>43</v>
      </c>
      <c r="B44" t="s">
        <v>91</v>
      </c>
      <c r="C44">
        <v>20</v>
      </c>
      <c r="D44" t="s">
        <v>197</v>
      </c>
      <c r="E44" t="s">
        <v>92</v>
      </c>
      <c r="F44">
        <v>46</v>
      </c>
      <c r="G44">
        <v>17</v>
      </c>
      <c r="H44" t="b">
        <v>0</v>
      </c>
      <c r="I44" s="1">
        <v>45793</v>
      </c>
    </row>
    <row r="45" spans="1:9" x14ac:dyDescent="0.25">
      <c r="A45">
        <v>44</v>
      </c>
      <c r="B45" t="s">
        <v>93</v>
      </c>
      <c r="C45">
        <v>20</v>
      </c>
      <c r="D45" t="s">
        <v>198</v>
      </c>
      <c r="E45" t="s">
        <v>94</v>
      </c>
      <c r="F45">
        <v>19.45</v>
      </c>
      <c r="G45">
        <v>27</v>
      </c>
      <c r="H45" t="b">
        <v>0</v>
      </c>
      <c r="I45" s="1">
        <v>46010</v>
      </c>
    </row>
    <row r="46" spans="1:9" x14ac:dyDescent="0.25">
      <c r="A46">
        <v>45</v>
      </c>
      <c r="B46" t="s">
        <v>95</v>
      </c>
      <c r="C46">
        <v>21</v>
      </c>
      <c r="D46" t="s">
        <v>203</v>
      </c>
      <c r="E46" t="s">
        <v>96</v>
      </c>
      <c r="F46">
        <v>9.5</v>
      </c>
      <c r="G46">
        <v>5</v>
      </c>
      <c r="H46" t="b">
        <v>0</v>
      </c>
      <c r="I46" s="1">
        <v>45732</v>
      </c>
    </row>
    <row r="47" spans="1:9" x14ac:dyDescent="0.25">
      <c r="A47">
        <v>46</v>
      </c>
      <c r="B47" t="s">
        <v>97</v>
      </c>
      <c r="C47">
        <v>21</v>
      </c>
      <c r="D47" t="s">
        <v>203</v>
      </c>
      <c r="E47" t="s">
        <v>98</v>
      </c>
      <c r="F47">
        <v>12</v>
      </c>
      <c r="G47">
        <v>95</v>
      </c>
      <c r="H47" t="b">
        <v>0</v>
      </c>
      <c r="I47" s="1">
        <v>45955</v>
      </c>
    </row>
    <row r="48" spans="1:9" x14ac:dyDescent="0.25">
      <c r="A48">
        <v>47</v>
      </c>
      <c r="B48" t="s">
        <v>99</v>
      </c>
      <c r="C48">
        <v>22</v>
      </c>
      <c r="D48" t="s">
        <v>199</v>
      </c>
      <c r="E48" t="s">
        <v>100</v>
      </c>
      <c r="F48">
        <v>9.5</v>
      </c>
      <c r="G48">
        <v>36</v>
      </c>
      <c r="H48" t="b">
        <v>0</v>
      </c>
      <c r="I48" s="1">
        <v>45985</v>
      </c>
    </row>
    <row r="49" spans="1:9" x14ac:dyDescent="0.25">
      <c r="A49">
        <v>48</v>
      </c>
      <c r="B49" t="s">
        <v>101</v>
      </c>
      <c r="C49">
        <v>22</v>
      </c>
      <c r="D49" t="s">
        <v>199</v>
      </c>
      <c r="E49" t="s">
        <v>102</v>
      </c>
      <c r="F49">
        <v>12.75</v>
      </c>
      <c r="G49">
        <v>15</v>
      </c>
      <c r="H49" t="b">
        <v>0</v>
      </c>
      <c r="I49" s="1">
        <v>45737</v>
      </c>
    </row>
    <row r="50" spans="1:9" x14ac:dyDescent="0.25">
      <c r="A50">
        <v>49</v>
      </c>
      <c r="B50" t="s">
        <v>103</v>
      </c>
      <c r="C50">
        <v>23</v>
      </c>
      <c r="D50" t="s">
        <v>199</v>
      </c>
      <c r="E50" t="s">
        <v>104</v>
      </c>
      <c r="F50">
        <v>20</v>
      </c>
      <c r="G50">
        <v>10</v>
      </c>
      <c r="H50" t="b">
        <v>0</v>
      </c>
      <c r="I50" s="1">
        <v>45768</v>
      </c>
    </row>
    <row r="51" spans="1:9" x14ac:dyDescent="0.25">
      <c r="A51">
        <v>50</v>
      </c>
      <c r="B51" t="s">
        <v>105</v>
      </c>
      <c r="C51">
        <v>23</v>
      </c>
      <c r="D51" t="s">
        <v>199</v>
      </c>
      <c r="E51" t="s">
        <v>106</v>
      </c>
      <c r="F51">
        <v>16.25</v>
      </c>
      <c r="G51">
        <v>65</v>
      </c>
      <c r="H51" t="b">
        <v>0</v>
      </c>
      <c r="I51" s="1">
        <v>45796</v>
      </c>
    </row>
    <row r="52" spans="1:9" x14ac:dyDescent="0.25">
      <c r="A52">
        <v>51</v>
      </c>
      <c r="B52" t="s">
        <v>107</v>
      </c>
      <c r="C52">
        <v>24</v>
      </c>
      <c r="D52" t="s">
        <v>204</v>
      </c>
      <c r="E52" t="s">
        <v>108</v>
      </c>
      <c r="F52">
        <v>53</v>
      </c>
      <c r="G52">
        <v>20</v>
      </c>
      <c r="H52" t="b">
        <v>0</v>
      </c>
      <c r="I52" s="1">
        <v>45968</v>
      </c>
    </row>
    <row r="53" spans="1:9" x14ac:dyDescent="0.25">
      <c r="A53">
        <v>52</v>
      </c>
      <c r="B53" t="s">
        <v>109</v>
      </c>
      <c r="C53">
        <v>24</v>
      </c>
      <c r="D53" t="s">
        <v>201</v>
      </c>
      <c r="E53" t="s">
        <v>110</v>
      </c>
      <c r="F53">
        <v>7</v>
      </c>
      <c r="G53">
        <v>38</v>
      </c>
      <c r="H53" t="b">
        <v>0</v>
      </c>
      <c r="I53" s="1">
        <v>45730</v>
      </c>
    </row>
    <row r="54" spans="1:9" x14ac:dyDescent="0.25">
      <c r="A54">
        <v>53</v>
      </c>
      <c r="B54" t="s">
        <v>111</v>
      </c>
      <c r="C54">
        <v>24</v>
      </c>
      <c r="D54" t="s">
        <v>202</v>
      </c>
      <c r="E54" t="s">
        <v>112</v>
      </c>
      <c r="F54">
        <v>32.799999999999997</v>
      </c>
      <c r="G54">
        <v>0</v>
      </c>
      <c r="H54" t="b">
        <v>1</v>
      </c>
      <c r="I54" s="1">
        <v>45924</v>
      </c>
    </row>
    <row r="55" spans="1:9" x14ac:dyDescent="0.25">
      <c r="A55">
        <v>54</v>
      </c>
      <c r="B55" t="s">
        <v>113</v>
      </c>
      <c r="C55">
        <v>25</v>
      </c>
      <c r="D55" t="s">
        <v>202</v>
      </c>
      <c r="E55" t="s">
        <v>114</v>
      </c>
      <c r="F55">
        <v>7.45</v>
      </c>
      <c r="G55">
        <v>21</v>
      </c>
      <c r="H55" t="b">
        <v>0</v>
      </c>
      <c r="I55" s="1">
        <v>45987</v>
      </c>
    </row>
    <row r="56" spans="1:9" x14ac:dyDescent="0.25">
      <c r="A56">
        <v>55</v>
      </c>
      <c r="B56" t="s">
        <v>115</v>
      </c>
      <c r="C56">
        <v>25</v>
      </c>
      <c r="D56" t="s">
        <v>202</v>
      </c>
      <c r="E56" t="s">
        <v>116</v>
      </c>
      <c r="F56">
        <v>24</v>
      </c>
      <c r="G56">
        <v>115</v>
      </c>
      <c r="H56" t="b">
        <v>0</v>
      </c>
      <c r="I56" s="1">
        <v>45764</v>
      </c>
    </row>
    <row r="57" spans="1:9" x14ac:dyDescent="0.25">
      <c r="A57">
        <v>56</v>
      </c>
      <c r="B57" t="s">
        <v>117</v>
      </c>
      <c r="C57">
        <v>26</v>
      </c>
      <c r="D57" t="s">
        <v>201</v>
      </c>
      <c r="E57" t="s">
        <v>118</v>
      </c>
      <c r="F57">
        <v>38</v>
      </c>
      <c r="G57">
        <v>21</v>
      </c>
      <c r="H57" t="b">
        <v>0</v>
      </c>
      <c r="I57" s="1">
        <v>45899</v>
      </c>
    </row>
    <row r="58" spans="1:9" x14ac:dyDescent="0.25">
      <c r="A58">
        <v>57</v>
      </c>
      <c r="B58" t="s">
        <v>119</v>
      </c>
      <c r="C58">
        <v>26</v>
      </c>
      <c r="D58" t="s">
        <v>201</v>
      </c>
      <c r="E58" t="s">
        <v>118</v>
      </c>
      <c r="F58">
        <v>19.5</v>
      </c>
      <c r="G58">
        <v>36</v>
      </c>
      <c r="H58" t="b">
        <v>0</v>
      </c>
      <c r="I58" s="1">
        <v>45947</v>
      </c>
    </row>
    <row r="59" spans="1:9" x14ac:dyDescent="0.25">
      <c r="A59">
        <v>58</v>
      </c>
      <c r="B59" t="s">
        <v>120</v>
      </c>
      <c r="C59">
        <v>27</v>
      </c>
      <c r="D59" t="s">
        <v>203</v>
      </c>
      <c r="E59" t="s">
        <v>121</v>
      </c>
      <c r="F59">
        <v>13.25</v>
      </c>
      <c r="G59">
        <v>62</v>
      </c>
      <c r="H59" t="b">
        <v>0</v>
      </c>
      <c r="I59" s="1">
        <v>45793</v>
      </c>
    </row>
    <row r="60" spans="1:9" x14ac:dyDescent="0.25">
      <c r="A60">
        <v>59</v>
      </c>
      <c r="B60" t="s">
        <v>122</v>
      </c>
      <c r="C60">
        <v>28</v>
      </c>
      <c r="D60" t="s">
        <v>200</v>
      </c>
      <c r="E60" t="s">
        <v>123</v>
      </c>
      <c r="F60">
        <v>55</v>
      </c>
      <c r="G60">
        <v>79</v>
      </c>
      <c r="H60" t="b">
        <v>0</v>
      </c>
      <c r="I60" s="1">
        <v>45975</v>
      </c>
    </row>
    <row r="61" spans="1:9" x14ac:dyDescent="0.25">
      <c r="A61">
        <v>60</v>
      </c>
      <c r="B61" t="s">
        <v>124</v>
      </c>
      <c r="C61">
        <v>28</v>
      </c>
      <c r="D61" t="s">
        <v>200</v>
      </c>
      <c r="E61" t="s">
        <v>125</v>
      </c>
      <c r="F61">
        <v>34</v>
      </c>
      <c r="G61">
        <v>19</v>
      </c>
      <c r="H61" t="b">
        <v>0</v>
      </c>
      <c r="I61" s="1">
        <v>45771</v>
      </c>
    </row>
    <row r="62" spans="1:9" x14ac:dyDescent="0.25">
      <c r="A62">
        <v>61</v>
      </c>
      <c r="B62" t="s">
        <v>126</v>
      </c>
      <c r="C62">
        <v>29</v>
      </c>
      <c r="D62" t="s">
        <v>198</v>
      </c>
      <c r="E62" t="s">
        <v>127</v>
      </c>
      <c r="F62">
        <v>28.5</v>
      </c>
      <c r="G62">
        <v>113</v>
      </c>
      <c r="H62" t="b">
        <v>0</v>
      </c>
      <c r="I62" s="1">
        <v>45967</v>
      </c>
    </row>
    <row r="63" spans="1:9" x14ac:dyDescent="0.25">
      <c r="A63">
        <v>62</v>
      </c>
      <c r="B63" t="s">
        <v>128</v>
      </c>
      <c r="C63">
        <v>29</v>
      </c>
      <c r="D63" t="s">
        <v>199</v>
      </c>
      <c r="E63" t="s">
        <v>129</v>
      </c>
      <c r="F63">
        <v>49.3</v>
      </c>
      <c r="G63">
        <v>17</v>
      </c>
      <c r="H63" t="b">
        <v>0</v>
      </c>
      <c r="I63" s="1">
        <v>45846</v>
      </c>
    </row>
    <row r="64" spans="1:9" x14ac:dyDescent="0.25">
      <c r="A64">
        <v>63</v>
      </c>
      <c r="B64" t="s">
        <v>130</v>
      </c>
      <c r="C64">
        <v>7</v>
      </c>
      <c r="D64" t="s">
        <v>198</v>
      </c>
      <c r="E64" t="s">
        <v>131</v>
      </c>
      <c r="F64">
        <v>43.9</v>
      </c>
      <c r="G64">
        <v>24</v>
      </c>
      <c r="H64" t="b">
        <v>0</v>
      </c>
      <c r="I64" s="1">
        <v>45824</v>
      </c>
    </row>
    <row r="65" spans="1:9" x14ac:dyDescent="0.25">
      <c r="A65">
        <v>64</v>
      </c>
      <c r="B65" t="s">
        <v>132</v>
      </c>
      <c r="C65">
        <v>12</v>
      </c>
      <c r="D65" t="s">
        <v>201</v>
      </c>
      <c r="E65" t="s">
        <v>133</v>
      </c>
      <c r="F65">
        <v>33.25</v>
      </c>
      <c r="G65">
        <v>22</v>
      </c>
      <c r="H65" t="b">
        <v>0</v>
      </c>
      <c r="I65" s="1">
        <v>45944</v>
      </c>
    </row>
    <row r="66" spans="1:9" x14ac:dyDescent="0.25">
      <c r="A66">
        <v>65</v>
      </c>
      <c r="B66" t="s">
        <v>134</v>
      </c>
      <c r="C66">
        <v>2</v>
      </c>
      <c r="D66" t="s">
        <v>198</v>
      </c>
      <c r="E66" t="s">
        <v>135</v>
      </c>
      <c r="F66">
        <v>21.05</v>
      </c>
      <c r="G66">
        <v>76</v>
      </c>
      <c r="H66" t="b">
        <v>0</v>
      </c>
      <c r="I66" s="1">
        <v>45715</v>
      </c>
    </row>
    <row r="67" spans="1:9" x14ac:dyDescent="0.25">
      <c r="A67">
        <v>66</v>
      </c>
      <c r="B67" t="s">
        <v>136</v>
      </c>
      <c r="C67">
        <v>2</v>
      </c>
      <c r="D67" t="s">
        <v>198</v>
      </c>
      <c r="E67" t="s">
        <v>137</v>
      </c>
      <c r="F67">
        <v>17</v>
      </c>
      <c r="G67">
        <v>4</v>
      </c>
      <c r="H67" t="b">
        <v>0</v>
      </c>
      <c r="I67" s="1">
        <v>46008</v>
      </c>
    </row>
    <row r="68" spans="1:9" x14ac:dyDescent="0.25">
      <c r="A68">
        <v>67</v>
      </c>
      <c r="B68" t="s">
        <v>138</v>
      </c>
      <c r="C68">
        <v>16</v>
      </c>
      <c r="D68" t="s">
        <v>197</v>
      </c>
      <c r="E68" t="s">
        <v>12</v>
      </c>
      <c r="F68">
        <v>14</v>
      </c>
      <c r="G68">
        <v>52</v>
      </c>
      <c r="H68" t="b">
        <v>0</v>
      </c>
      <c r="I68" s="1">
        <v>45715</v>
      </c>
    </row>
    <row r="69" spans="1:9" x14ac:dyDescent="0.25">
      <c r="A69">
        <v>68</v>
      </c>
      <c r="B69" t="s">
        <v>139</v>
      </c>
      <c r="C69">
        <v>8</v>
      </c>
      <c r="D69" t="s">
        <v>199</v>
      </c>
      <c r="E69" t="s">
        <v>140</v>
      </c>
      <c r="F69">
        <v>12.5</v>
      </c>
      <c r="G69">
        <v>6</v>
      </c>
      <c r="H69" t="b">
        <v>0</v>
      </c>
      <c r="I69" s="1">
        <v>45695</v>
      </c>
    </row>
    <row r="70" spans="1:9" x14ac:dyDescent="0.25">
      <c r="A70">
        <v>69</v>
      </c>
      <c r="B70" t="s">
        <v>141</v>
      </c>
      <c r="C70">
        <v>15</v>
      </c>
      <c r="D70" t="s">
        <v>200</v>
      </c>
      <c r="E70" t="s">
        <v>142</v>
      </c>
      <c r="F70">
        <v>36</v>
      </c>
      <c r="G70">
        <v>26</v>
      </c>
      <c r="H70" t="b">
        <v>0</v>
      </c>
      <c r="I70" s="1">
        <v>45827</v>
      </c>
    </row>
    <row r="71" spans="1:9" x14ac:dyDescent="0.25">
      <c r="A71">
        <v>70</v>
      </c>
      <c r="B71" t="s">
        <v>143</v>
      </c>
      <c r="C71">
        <v>7</v>
      </c>
      <c r="D71" t="s">
        <v>197</v>
      </c>
      <c r="E71" t="s">
        <v>144</v>
      </c>
      <c r="F71">
        <v>15</v>
      </c>
      <c r="G71">
        <v>15</v>
      </c>
      <c r="H71" t="b">
        <v>0</v>
      </c>
      <c r="I71" s="1">
        <v>45827</v>
      </c>
    </row>
    <row r="72" spans="1:9" x14ac:dyDescent="0.25">
      <c r="A72">
        <v>71</v>
      </c>
      <c r="B72" t="s">
        <v>145</v>
      </c>
      <c r="C72">
        <v>15</v>
      </c>
      <c r="D72" t="s">
        <v>200</v>
      </c>
      <c r="E72" t="s">
        <v>32</v>
      </c>
      <c r="F72">
        <v>21.5</v>
      </c>
      <c r="G72">
        <v>26</v>
      </c>
      <c r="H72" t="b">
        <v>0</v>
      </c>
      <c r="I72" s="1">
        <v>46004</v>
      </c>
    </row>
    <row r="73" spans="1:9" x14ac:dyDescent="0.25">
      <c r="A73">
        <v>72</v>
      </c>
      <c r="B73" t="s">
        <v>146</v>
      </c>
      <c r="C73">
        <v>14</v>
      </c>
      <c r="D73" t="s">
        <v>200</v>
      </c>
      <c r="E73" t="s">
        <v>72</v>
      </c>
      <c r="F73">
        <v>34.799999999999997</v>
      </c>
      <c r="G73">
        <v>14</v>
      </c>
      <c r="H73" t="b">
        <v>0</v>
      </c>
      <c r="I73" s="1">
        <v>45717</v>
      </c>
    </row>
    <row r="74" spans="1:9" x14ac:dyDescent="0.25">
      <c r="A74">
        <v>73</v>
      </c>
      <c r="B74" t="s">
        <v>147</v>
      </c>
      <c r="C74">
        <v>17</v>
      </c>
      <c r="D74" t="s">
        <v>203</v>
      </c>
      <c r="E74" t="s">
        <v>148</v>
      </c>
      <c r="F74">
        <v>15</v>
      </c>
      <c r="G74">
        <v>101</v>
      </c>
      <c r="H74" t="b">
        <v>0</v>
      </c>
      <c r="I74" s="1">
        <v>45683</v>
      </c>
    </row>
    <row r="75" spans="1:9" x14ac:dyDescent="0.25">
      <c r="A75">
        <v>74</v>
      </c>
      <c r="B75" t="s">
        <v>149</v>
      </c>
      <c r="C75">
        <v>4</v>
      </c>
      <c r="D75" t="s">
        <v>204</v>
      </c>
      <c r="E75" t="s">
        <v>123</v>
      </c>
      <c r="F75">
        <v>10</v>
      </c>
      <c r="G75">
        <v>4</v>
      </c>
      <c r="H75" t="b">
        <v>0</v>
      </c>
      <c r="I75" s="1">
        <v>45904</v>
      </c>
    </row>
    <row r="76" spans="1:9" x14ac:dyDescent="0.25">
      <c r="A76">
        <v>75</v>
      </c>
      <c r="B76" t="s">
        <v>150</v>
      </c>
      <c r="C76">
        <v>12</v>
      </c>
      <c r="D76" t="s">
        <v>197</v>
      </c>
      <c r="E76" t="s">
        <v>151</v>
      </c>
      <c r="F76">
        <v>7.75</v>
      </c>
      <c r="G76">
        <v>125</v>
      </c>
      <c r="H76" t="b">
        <v>0</v>
      </c>
      <c r="I76" s="1">
        <v>45896</v>
      </c>
    </row>
    <row r="77" spans="1:9" x14ac:dyDescent="0.25">
      <c r="A77">
        <v>76</v>
      </c>
      <c r="B77" t="s">
        <v>152</v>
      </c>
      <c r="C77">
        <v>23</v>
      </c>
      <c r="D77" t="s">
        <v>197</v>
      </c>
      <c r="E77" t="s">
        <v>153</v>
      </c>
      <c r="F77">
        <v>18</v>
      </c>
      <c r="G77">
        <v>57</v>
      </c>
      <c r="H77" t="b">
        <v>0</v>
      </c>
      <c r="I77" s="1">
        <v>45704</v>
      </c>
    </row>
    <row r="78" spans="1:9" x14ac:dyDescent="0.25">
      <c r="A78">
        <v>77</v>
      </c>
      <c r="B78" t="s">
        <v>154</v>
      </c>
      <c r="C78">
        <v>12</v>
      </c>
      <c r="D78" t="s">
        <v>198</v>
      </c>
      <c r="E78" t="s">
        <v>155</v>
      </c>
      <c r="F78">
        <v>13</v>
      </c>
      <c r="G78">
        <v>32</v>
      </c>
      <c r="H78" t="b">
        <v>0</v>
      </c>
      <c r="I78" s="1">
        <v>45883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F228-C141-40E4-ACA2-C4BDB20007BB}">
  <dimension ref="A1:W80"/>
  <sheetViews>
    <sheetView workbookViewId="0">
      <selection activeCell="A3" sqref="A3:I80"/>
    </sheetView>
  </sheetViews>
  <sheetFormatPr baseColWidth="10" defaultColWidth="8.85546875" defaultRowHeight="15" x14ac:dyDescent="0.25"/>
  <cols>
    <col min="1" max="1" width="11.42578125" customWidth="1"/>
    <col min="2" max="2" width="31.85546875" bestFit="1" customWidth="1"/>
    <col min="3" max="3" width="14.85546875" customWidth="1"/>
    <col min="4" max="4" width="12.28515625" customWidth="1"/>
    <col min="5" max="5" width="19.28515625" bestFit="1" customWidth="1"/>
    <col min="6" max="6" width="11" customWidth="1"/>
    <col min="7" max="7" width="12.85546875" customWidth="1"/>
    <col min="8" max="8" width="16.7109375" customWidth="1"/>
    <col min="9" max="9" width="12.28515625" style="1" customWidth="1"/>
    <col min="11" max="11" width="11.42578125" bestFit="1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</row>
    <row r="4" spans="1:23" x14ac:dyDescent="0.25">
      <c r="A4">
        <v>1</v>
      </c>
      <c r="B4" t="s">
        <v>9</v>
      </c>
      <c r="C4">
        <v>1</v>
      </c>
      <c r="D4" t="s">
        <v>197</v>
      </c>
      <c r="E4" t="s">
        <v>10</v>
      </c>
      <c r="F4">
        <v>18</v>
      </c>
      <c r="G4">
        <v>39</v>
      </c>
      <c r="H4" t="b">
        <v>0</v>
      </c>
      <c r="I4" s="1">
        <v>45953</v>
      </c>
    </row>
    <row r="5" spans="1:23" x14ac:dyDescent="0.25">
      <c r="A5">
        <v>2</v>
      </c>
      <c r="B5" t="s">
        <v>11</v>
      </c>
      <c r="C5">
        <v>1</v>
      </c>
      <c r="D5" t="s">
        <v>197</v>
      </c>
      <c r="E5" t="s">
        <v>12</v>
      </c>
      <c r="F5">
        <v>19</v>
      </c>
      <c r="G5">
        <v>17</v>
      </c>
      <c r="H5" t="b">
        <v>0</v>
      </c>
      <c r="I5" s="1">
        <v>46007</v>
      </c>
    </row>
    <row r="6" spans="1:23" x14ac:dyDescent="0.25">
      <c r="A6">
        <v>3</v>
      </c>
      <c r="B6" t="s">
        <v>13</v>
      </c>
      <c r="C6">
        <v>1</v>
      </c>
      <c r="D6" t="s">
        <v>198</v>
      </c>
      <c r="E6" t="s">
        <v>14</v>
      </c>
      <c r="F6">
        <v>10</v>
      </c>
      <c r="G6">
        <v>13</v>
      </c>
      <c r="H6" t="b">
        <v>0</v>
      </c>
      <c r="I6" s="1">
        <v>45752</v>
      </c>
    </row>
    <row r="7" spans="1:23" x14ac:dyDescent="0.25">
      <c r="A7">
        <v>4</v>
      </c>
      <c r="B7" t="s">
        <v>15</v>
      </c>
      <c r="C7">
        <v>2</v>
      </c>
      <c r="D7" t="s">
        <v>198</v>
      </c>
      <c r="E7" t="s">
        <v>16</v>
      </c>
      <c r="F7">
        <v>22</v>
      </c>
      <c r="G7">
        <v>53</v>
      </c>
      <c r="H7" t="b">
        <v>0</v>
      </c>
      <c r="I7" s="1">
        <v>45659</v>
      </c>
    </row>
    <row r="8" spans="1:23" x14ac:dyDescent="0.25">
      <c r="A8">
        <v>5</v>
      </c>
      <c r="B8" t="s">
        <v>17</v>
      </c>
      <c r="C8">
        <v>2</v>
      </c>
      <c r="D8" t="s">
        <v>198</v>
      </c>
      <c r="E8" t="s">
        <v>18</v>
      </c>
      <c r="F8">
        <v>21.35</v>
      </c>
      <c r="G8">
        <v>0</v>
      </c>
      <c r="H8" t="b">
        <v>1</v>
      </c>
      <c r="I8" s="1">
        <v>46002</v>
      </c>
    </row>
    <row r="9" spans="1:23" x14ac:dyDescent="0.25">
      <c r="A9">
        <v>6</v>
      </c>
      <c r="B9" t="s">
        <v>19</v>
      </c>
      <c r="C9">
        <v>3</v>
      </c>
      <c r="D9" t="s">
        <v>198</v>
      </c>
      <c r="E9" t="s">
        <v>20</v>
      </c>
      <c r="F9">
        <v>25</v>
      </c>
      <c r="G9">
        <v>120</v>
      </c>
      <c r="H9" t="b">
        <v>0</v>
      </c>
      <c r="I9" s="1">
        <v>45869</v>
      </c>
    </row>
    <row r="10" spans="1:23" x14ac:dyDescent="0.25">
      <c r="A10">
        <v>7</v>
      </c>
      <c r="B10" t="s">
        <v>21</v>
      </c>
      <c r="C10">
        <v>3</v>
      </c>
      <c r="D10" t="s">
        <v>204</v>
      </c>
      <c r="E10" t="s">
        <v>22</v>
      </c>
      <c r="F10">
        <v>30</v>
      </c>
      <c r="G10">
        <v>15</v>
      </c>
      <c r="H10" t="b">
        <v>0</v>
      </c>
      <c r="I10" s="1">
        <v>45995</v>
      </c>
    </row>
    <row r="11" spans="1:23" x14ac:dyDescent="0.25">
      <c r="A11">
        <v>8</v>
      </c>
      <c r="B11" t="s">
        <v>23</v>
      </c>
      <c r="C11">
        <v>3</v>
      </c>
      <c r="D11" t="s">
        <v>198</v>
      </c>
      <c r="E11" t="s">
        <v>24</v>
      </c>
      <c r="F11">
        <v>40</v>
      </c>
      <c r="G11">
        <v>6</v>
      </c>
      <c r="H11" t="b">
        <v>0</v>
      </c>
      <c r="I11" s="1">
        <v>45857</v>
      </c>
    </row>
    <row r="12" spans="1:23" x14ac:dyDescent="0.25">
      <c r="A12">
        <v>9</v>
      </c>
      <c r="B12" t="s">
        <v>25</v>
      </c>
      <c r="C12">
        <v>4</v>
      </c>
      <c r="D12" t="s">
        <v>202</v>
      </c>
      <c r="E12" t="s">
        <v>26</v>
      </c>
      <c r="F12">
        <v>97</v>
      </c>
      <c r="G12">
        <v>29</v>
      </c>
      <c r="H12" t="b">
        <v>1</v>
      </c>
      <c r="I12" s="1">
        <v>45663</v>
      </c>
    </row>
    <row r="13" spans="1:23" x14ac:dyDescent="0.25">
      <c r="A13">
        <v>10</v>
      </c>
      <c r="B13" t="s">
        <v>27</v>
      </c>
      <c r="C13">
        <v>4</v>
      </c>
      <c r="D13" t="s">
        <v>203</v>
      </c>
      <c r="E13" t="s">
        <v>28</v>
      </c>
      <c r="F13">
        <v>31</v>
      </c>
      <c r="G13">
        <v>31</v>
      </c>
      <c r="H13" t="b">
        <v>0</v>
      </c>
      <c r="I13" s="1">
        <v>45757</v>
      </c>
    </row>
    <row r="14" spans="1:23" x14ac:dyDescent="0.25">
      <c r="A14">
        <v>11</v>
      </c>
      <c r="B14" t="s">
        <v>29</v>
      </c>
      <c r="C14">
        <v>5</v>
      </c>
      <c r="D14" t="s">
        <v>200</v>
      </c>
      <c r="E14" t="s">
        <v>30</v>
      </c>
      <c r="F14">
        <v>21</v>
      </c>
      <c r="G14">
        <v>22</v>
      </c>
      <c r="H14" t="b">
        <v>0</v>
      </c>
      <c r="I14" s="1">
        <v>45976</v>
      </c>
    </row>
    <row r="15" spans="1:23" x14ac:dyDescent="0.25">
      <c r="A15">
        <v>12</v>
      </c>
      <c r="B15" t="s">
        <v>31</v>
      </c>
      <c r="C15">
        <v>5</v>
      </c>
      <c r="D15" t="s">
        <v>200</v>
      </c>
      <c r="E15" t="s">
        <v>32</v>
      </c>
      <c r="F15">
        <v>38</v>
      </c>
      <c r="G15">
        <v>86</v>
      </c>
      <c r="H15" t="b">
        <v>0</v>
      </c>
      <c r="I15" s="1">
        <v>45894</v>
      </c>
    </row>
    <row r="16" spans="1:23" x14ac:dyDescent="0.25">
      <c r="A16">
        <v>13</v>
      </c>
      <c r="B16" t="s">
        <v>33</v>
      </c>
      <c r="C16">
        <v>6</v>
      </c>
      <c r="D16" t="s">
        <v>203</v>
      </c>
      <c r="E16" t="s">
        <v>34</v>
      </c>
      <c r="F16">
        <v>6</v>
      </c>
      <c r="G16">
        <v>24</v>
      </c>
      <c r="H16" t="b">
        <v>0</v>
      </c>
      <c r="I16" s="1">
        <v>45936</v>
      </c>
    </row>
    <row r="17" spans="1:9" x14ac:dyDescent="0.25">
      <c r="A17">
        <v>14</v>
      </c>
      <c r="B17" t="s">
        <v>35</v>
      </c>
      <c r="C17">
        <v>6</v>
      </c>
      <c r="D17" t="s">
        <v>204</v>
      </c>
      <c r="E17" t="s">
        <v>36</v>
      </c>
      <c r="F17">
        <v>23.25</v>
      </c>
      <c r="G17">
        <v>35</v>
      </c>
      <c r="H17" t="b">
        <v>0</v>
      </c>
      <c r="I17" s="1">
        <v>45994</v>
      </c>
    </row>
    <row r="18" spans="1:9" x14ac:dyDescent="0.25">
      <c r="A18">
        <v>15</v>
      </c>
      <c r="B18" t="s">
        <v>37</v>
      </c>
      <c r="C18">
        <v>6</v>
      </c>
      <c r="D18" t="s">
        <v>198</v>
      </c>
      <c r="E18" t="s">
        <v>38</v>
      </c>
      <c r="F18">
        <v>15.5</v>
      </c>
      <c r="G18">
        <v>39</v>
      </c>
      <c r="H18" t="b">
        <v>0</v>
      </c>
      <c r="I18" s="1">
        <v>45910</v>
      </c>
    </row>
    <row r="19" spans="1:9" x14ac:dyDescent="0.25">
      <c r="A19">
        <v>16</v>
      </c>
      <c r="B19" t="s">
        <v>39</v>
      </c>
      <c r="C19">
        <v>7</v>
      </c>
      <c r="D19" t="s">
        <v>199</v>
      </c>
      <c r="E19" t="s">
        <v>40</v>
      </c>
      <c r="F19">
        <v>17.45</v>
      </c>
      <c r="G19">
        <v>29</v>
      </c>
      <c r="H19" t="b">
        <v>0</v>
      </c>
      <c r="I19" s="1">
        <v>45722</v>
      </c>
    </row>
    <row r="20" spans="1:9" x14ac:dyDescent="0.25">
      <c r="A20">
        <v>17</v>
      </c>
      <c r="B20" t="s">
        <v>41</v>
      </c>
      <c r="C20">
        <v>7</v>
      </c>
      <c r="D20" t="s">
        <v>202</v>
      </c>
      <c r="E20" t="s">
        <v>42</v>
      </c>
      <c r="F20">
        <v>39</v>
      </c>
      <c r="G20">
        <v>0</v>
      </c>
      <c r="H20" t="b">
        <v>1</v>
      </c>
      <c r="I20" s="1">
        <v>45884</v>
      </c>
    </row>
    <row r="21" spans="1:9" x14ac:dyDescent="0.25">
      <c r="A21">
        <v>18</v>
      </c>
      <c r="B21" t="s">
        <v>43</v>
      </c>
      <c r="C21">
        <v>7</v>
      </c>
      <c r="D21" t="s">
        <v>203</v>
      </c>
      <c r="E21" t="s">
        <v>44</v>
      </c>
      <c r="F21">
        <v>62.5</v>
      </c>
      <c r="G21">
        <v>42</v>
      </c>
      <c r="H21" t="b">
        <v>0</v>
      </c>
      <c r="I21" s="1">
        <v>45679</v>
      </c>
    </row>
    <row r="22" spans="1:9" x14ac:dyDescent="0.25">
      <c r="A22">
        <v>19</v>
      </c>
      <c r="B22" t="s">
        <v>45</v>
      </c>
      <c r="C22">
        <v>8</v>
      </c>
      <c r="D22" t="s">
        <v>199</v>
      </c>
      <c r="E22" t="s">
        <v>46</v>
      </c>
      <c r="F22">
        <v>9.1999999999999993</v>
      </c>
      <c r="G22">
        <v>25</v>
      </c>
      <c r="H22" t="b">
        <v>0</v>
      </c>
      <c r="I22" s="1">
        <v>45739</v>
      </c>
    </row>
    <row r="23" spans="1:9" x14ac:dyDescent="0.25">
      <c r="A23">
        <v>20</v>
      </c>
      <c r="B23" t="s">
        <v>47</v>
      </c>
      <c r="C23">
        <v>8</v>
      </c>
      <c r="D23" t="s">
        <v>199</v>
      </c>
      <c r="E23" t="s">
        <v>48</v>
      </c>
      <c r="F23">
        <v>81</v>
      </c>
      <c r="G23">
        <v>40</v>
      </c>
      <c r="H23" t="b">
        <v>0</v>
      </c>
      <c r="I23" s="1">
        <v>45914</v>
      </c>
    </row>
    <row r="24" spans="1:9" x14ac:dyDescent="0.25">
      <c r="A24">
        <v>21</v>
      </c>
      <c r="B24" t="s">
        <v>49</v>
      </c>
      <c r="C24">
        <v>8</v>
      </c>
      <c r="D24" t="s">
        <v>199</v>
      </c>
      <c r="E24" t="s">
        <v>50</v>
      </c>
      <c r="F24">
        <v>10</v>
      </c>
      <c r="G24">
        <v>3</v>
      </c>
      <c r="H24" t="b">
        <v>0</v>
      </c>
      <c r="I24" s="1">
        <v>45844</v>
      </c>
    </row>
    <row r="25" spans="1:9" x14ac:dyDescent="0.25">
      <c r="A25">
        <v>22</v>
      </c>
      <c r="B25" t="s">
        <v>51</v>
      </c>
      <c r="C25">
        <v>9</v>
      </c>
      <c r="D25" t="s">
        <v>201</v>
      </c>
      <c r="E25" t="s">
        <v>52</v>
      </c>
      <c r="F25">
        <v>21</v>
      </c>
      <c r="G25">
        <v>104</v>
      </c>
      <c r="H25" t="b">
        <v>0</v>
      </c>
      <c r="I25" s="1">
        <v>45724</v>
      </c>
    </row>
    <row r="26" spans="1:9" x14ac:dyDescent="0.25">
      <c r="A26">
        <v>23</v>
      </c>
      <c r="B26" t="s">
        <v>53</v>
      </c>
      <c r="C26">
        <v>9</v>
      </c>
      <c r="D26" t="s">
        <v>201</v>
      </c>
      <c r="E26" t="s">
        <v>54</v>
      </c>
      <c r="F26">
        <v>9</v>
      </c>
      <c r="G26">
        <v>61</v>
      </c>
      <c r="H26" t="b">
        <v>0</v>
      </c>
      <c r="I26" s="1">
        <v>46011</v>
      </c>
    </row>
    <row r="27" spans="1:9" x14ac:dyDescent="0.25">
      <c r="A27">
        <v>24</v>
      </c>
      <c r="B27" t="s">
        <v>55</v>
      </c>
      <c r="C27">
        <v>10</v>
      </c>
      <c r="D27" t="s">
        <v>197</v>
      </c>
      <c r="E27" t="s">
        <v>56</v>
      </c>
      <c r="F27">
        <v>4.5</v>
      </c>
      <c r="G27">
        <v>20</v>
      </c>
      <c r="H27" t="b">
        <v>1</v>
      </c>
      <c r="I27" s="1">
        <v>46018</v>
      </c>
    </row>
    <row r="28" spans="1:9" x14ac:dyDescent="0.25">
      <c r="A28">
        <v>25</v>
      </c>
      <c r="B28" t="s">
        <v>57</v>
      </c>
      <c r="C28">
        <v>11</v>
      </c>
      <c r="D28" t="s">
        <v>199</v>
      </c>
      <c r="E28" t="s">
        <v>58</v>
      </c>
      <c r="F28">
        <v>14</v>
      </c>
      <c r="G28">
        <v>76</v>
      </c>
      <c r="H28" t="b">
        <v>0</v>
      </c>
      <c r="I28" s="1">
        <v>45692</v>
      </c>
    </row>
    <row r="29" spans="1:9" x14ac:dyDescent="0.25">
      <c r="A29">
        <v>26</v>
      </c>
      <c r="B29" t="s">
        <v>59</v>
      </c>
      <c r="C29">
        <v>11</v>
      </c>
      <c r="D29" t="s">
        <v>199</v>
      </c>
      <c r="E29" t="s">
        <v>60</v>
      </c>
      <c r="F29">
        <v>31.23</v>
      </c>
      <c r="G29">
        <v>15</v>
      </c>
      <c r="H29" t="b">
        <v>0</v>
      </c>
      <c r="I29" s="1">
        <v>45911</v>
      </c>
    </row>
    <row r="30" spans="1:9" x14ac:dyDescent="0.25">
      <c r="A30">
        <v>27</v>
      </c>
      <c r="B30" t="s">
        <v>61</v>
      </c>
      <c r="C30">
        <v>11</v>
      </c>
      <c r="D30" t="s">
        <v>199</v>
      </c>
      <c r="E30" t="s">
        <v>62</v>
      </c>
      <c r="F30">
        <v>43.9</v>
      </c>
      <c r="G30">
        <v>49</v>
      </c>
      <c r="H30" t="b">
        <v>0</v>
      </c>
      <c r="I30" s="1">
        <v>45784</v>
      </c>
    </row>
    <row r="31" spans="1:9" x14ac:dyDescent="0.25">
      <c r="A31">
        <v>28</v>
      </c>
      <c r="B31" t="s">
        <v>63</v>
      </c>
      <c r="C31">
        <v>12</v>
      </c>
      <c r="D31" t="s">
        <v>204</v>
      </c>
      <c r="E31" t="s">
        <v>64</v>
      </c>
      <c r="F31">
        <v>45.6</v>
      </c>
      <c r="G31">
        <v>26</v>
      </c>
      <c r="H31" t="b">
        <v>1</v>
      </c>
      <c r="I31" s="1">
        <v>45731</v>
      </c>
    </row>
    <row r="32" spans="1:9" x14ac:dyDescent="0.25">
      <c r="A32">
        <v>29</v>
      </c>
      <c r="B32" t="s">
        <v>65</v>
      </c>
      <c r="C32">
        <v>12</v>
      </c>
      <c r="D32" t="s">
        <v>202</v>
      </c>
      <c r="E32" t="s">
        <v>66</v>
      </c>
      <c r="F32">
        <v>123.79</v>
      </c>
      <c r="G32">
        <v>0</v>
      </c>
      <c r="H32" t="b">
        <v>1</v>
      </c>
      <c r="I32" s="1">
        <v>45943</v>
      </c>
    </row>
    <row r="33" spans="1:9" x14ac:dyDescent="0.25">
      <c r="A33">
        <v>30</v>
      </c>
      <c r="B33" t="s">
        <v>67</v>
      </c>
      <c r="C33">
        <v>13</v>
      </c>
      <c r="D33" t="s">
        <v>203</v>
      </c>
      <c r="E33" t="s">
        <v>68</v>
      </c>
      <c r="F33">
        <v>25.89</v>
      </c>
      <c r="G33">
        <v>10</v>
      </c>
      <c r="H33" t="b">
        <v>0</v>
      </c>
      <c r="I33" s="1">
        <v>45723</v>
      </c>
    </row>
    <row r="34" spans="1:9" x14ac:dyDescent="0.25">
      <c r="A34">
        <v>31</v>
      </c>
      <c r="B34" t="s">
        <v>69</v>
      </c>
      <c r="C34">
        <v>14</v>
      </c>
      <c r="D34" t="s">
        <v>200</v>
      </c>
      <c r="E34" t="s">
        <v>70</v>
      </c>
      <c r="F34">
        <v>12.5</v>
      </c>
      <c r="G34">
        <v>0</v>
      </c>
      <c r="H34" t="b">
        <v>0</v>
      </c>
      <c r="I34" s="1">
        <v>45791</v>
      </c>
    </row>
    <row r="35" spans="1:9" x14ac:dyDescent="0.25">
      <c r="A35">
        <v>32</v>
      </c>
      <c r="B35" t="s">
        <v>71</v>
      </c>
      <c r="C35">
        <v>14</v>
      </c>
      <c r="D35" t="s">
        <v>200</v>
      </c>
      <c r="E35" t="s">
        <v>72</v>
      </c>
      <c r="F35">
        <v>32</v>
      </c>
      <c r="G35">
        <v>9</v>
      </c>
      <c r="H35" t="b">
        <v>0</v>
      </c>
      <c r="I35" s="1">
        <v>46011</v>
      </c>
    </row>
    <row r="36" spans="1:9" x14ac:dyDescent="0.25">
      <c r="A36">
        <v>33</v>
      </c>
      <c r="B36" t="s">
        <v>73</v>
      </c>
      <c r="C36">
        <v>15</v>
      </c>
      <c r="D36" t="s">
        <v>200</v>
      </c>
      <c r="E36" t="s">
        <v>74</v>
      </c>
      <c r="F36">
        <v>2.5</v>
      </c>
      <c r="G36">
        <v>112</v>
      </c>
      <c r="H36" t="b">
        <v>0</v>
      </c>
      <c r="I36" s="1">
        <v>45804</v>
      </c>
    </row>
    <row r="37" spans="1:9" x14ac:dyDescent="0.25">
      <c r="A37">
        <v>34</v>
      </c>
      <c r="B37" t="s">
        <v>75</v>
      </c>
      <c r="C37">
        <v>16</v>
      </c>
      <c r="D37" t="s">
        <v>197</v>
      </c>
      <c r="E37" t="s">
        <v>12</v>
      </c>
      <c r="F37">
        <v>14</v>
      </c>
      <c r="G37">
        <v>111</v>
      </c>
      <c r="H37" t="b">
        <v>0</v>
      </c>
      <c r="I37" s="1">
        <v>45723</v>
      </c>
    </row>
    <row r="38" spans="1:9" x14ac:dyDescent="0.25">
      <c r="A38">
        <v>35</v>
      </c>
      <c r="B38" t="s">
        <v>76</v>
      </c>
      <c r="C38">
        <v>16</v>
      </c>
      <c r="D38" t="s">
        <v>197</v>
      </c>
      <c r="E38" t="s">
        <v>12</v>
      </c>
      <c r="F38">
        <v>18</v>
      </c>
      <c r="G38">
        <v>20</v>
      </c>
      <c r="H38" t="b">
        <v>0</v>
      </c>
      <c r="I38" s="1">
        <v>45973</v>
      </c>
    </row>
    <row r="39" spans="1:9" x14ac:dyDescent="0.25">
      <c r="A39">
        <v>36</v>
      </c>
      <c r="B39" t="s">
        <v>77</v>
      </c>
      <c r="C39">
        <v>17</v>
      </c>
      <c r="D39" t="s">
        <v>203</v>
      </c>
      <c r="E39" t="s">
        <v>78</v>
      </c>
      <c r="F39">
        <v>19</v>
      </c>
      <c r="G39">
        <v>112</v>
      </c>
      <c r="H39" t="b">
        <v>0</v>
      </c>
      <c r="I39" s="1">
        <v>45990</v>
      </c>
    </row>
    <row r="40" spans="1:9" x14ac:dyDescent="0.25">
      <c r="A40">
        <v>37</v>
      </c>
      <c r="B40" t="s">
        <v>79</v>
      </c>
      <c r="C40">
        <v>17</v>
      </c>
      <c r="D40" t="s">
        <v>203</v>
      </c>
      <c r="E40" t="s">
        <v>80</v>
      </c>
      <c r="F40">
        <v>26</v>
      </c>
      <c r="G40">
        <v>11</v>
      </c>
      <c r="H40" t="b">
        <v>0</v>
      </c>
      <c r="I40" s="1">
        <v>45870</v>
      </c>
    </row>
    <row r="41" spans="1:9" x14ac:dyDescent="0.25">
      <c r="A41">
        <v>38</v>
      </c>
      <c r="B41" t="s">
        <v>81</v>
      </c>
      <c r="C41">
        <v>18</v>
      </c>
      <c r="D41" t="s">
        <v>197</v>
      </c>
      <c r="E41" t="s">
        <v>82</v>
      </c>
      <c r="F41">
        <v>263.5</v>
      </c>
      <c r="G41">
        <v>17</v>
      </c>
      <c r="H41" t="b">
        <v>0</v>
      </c>
      <c r="I41" s="1">
        <v>45841</v>
      </c>
    </row>
    <row r="42" spans="1:9" x14ac:dyDescent="0.25">
      <c r="A42">
        <v>39</v>
      </c>
      <c r="B42" t="s">
        <v>83</v>
      </c>
      <c r="C42">
        <v>18</v>
      </c>
      <c r="D42" t="s">
        <v>197</v>
      </c>
      <c r="E42" t="s">
        <v>84</v>
      </c>
      <c r="F42">
        <v>18</v>
      </c>
      <c r="G42">
        <v>69</v>
      </c>
      <c r="H42" t="b">
        <v>0</v>
      </c>
      <c r="I42" s="1">
        <v>45860</v>
      </c>
    </row>
    <row r="43" spans="1:9" x14ac:dyDescent="0.25">
      <c r="A43">
        <v>40</v>
      </c>
      <c r="B43" t="s">
        <v>85</v>
      </c>
      <c r="C43">
        <v>19</v>
      </c>
      <c r="D43" t="s">
        <v>203</v>
      </c>
      <c r="E43" t="s">
        <v>86</v>
      </c>
      <c r="F43">
        <v>18.399999999999999</v>
      </c>
      <c r="G43">
        <v>123</v>
      </c>
      <c r="H43" t="b">
        <v>0</v>
      </c>
      <c r="I43" s="1">
        <v>45681</v>
      </c>
    </row>
    <row r="44" spans="1:9" x14ac:dyDescent="0.25">
      <c r="A44">
        <v>41</v>
      </c>
      <c r="B44" t="s">
        <v>87</v>
      </c>
      <c r="C44">
        <v>19</v>
      </c>
      <c r="D44" t="s">
        <v>203</v>
      </c>
      <c r="E44" t="s">
        <v>88</v>
      </c>
      <c r="F44">
        <v>9.65</v>
      </c>
      <c r="G44">
        <v>85</v>
      </c>
      <c r="H44" t="b">
        <v>0</v>
      </c>
      <c r="I44" s="1">
        <v>45856</v>
      </c>
    </row>
    <row r="45" spans="1:9" x14ac:dyDescent="0.25">
      <c r="A45">
        <v>42</v>
      </c>
      <c r="B45" t="s">
        <v>89</v>
      </c>
      <c r="C45">
        <v>20</v>
      </c>
      <c r="D45" t="s">
        <v>201</v>
      </c>
      <c r="E45" t="s">
        <v>90</v>
      </c>
      <c r="F45">
        <v>14</v>
      </c>
      <c r="G45">
        <v>26</v>
      </c>
      <c r="H45" t="b">
        <v>1</v>
      </c>
      <c r="I45" s="1">
        <v>45974</v>
      </c>
    </row>
    <row r="46" spans="1:9" x14ac:dyDescent="0.25">
      <c r="A46">
        <v>43</v>
      </c>
      <c r="B46" t="s">
        <v>91</v>
      </c>
      <c r="C46">
        <v>20</v>
      </c>
      <c r="D46" t="s">
        <v>197</v>
      </c>
      <c r="E46" t="s">
        <v>92</v>
      </c>
      <c r="F46">
        <v>46</v>
      </c>
      <c r="G46">
        <v>17</v>
      </c>
      <c r="H46" t="b">
        <v>0</v>
      </c>
      <c r="I46" s="1">
        <v>45793</v>
      </c>
    </row>
    <row r="47" spans="1:9" x14ac:dyDescent="0.25">
      <c r="A47">
        <v>44</v>
      </c>
      <c r="B47" t="s">
        <v>93</v>
      </c>
      <c r="C47">
        <v>20</v>
      </c>
      <c r="D47" t="s">
        <v>198</v>
      </c>
      <c r="E47" t="s">
        <v>94</v>
      </c>
      <c r="F47">
        <v>19.45</v>
      </c>
      <c r="G47">
        <v>27</v>
      </c>
      <c r="H47" t="b">
        <v>0</v>
      </c>
      <c r="I47" s="1">
        <v>46010</v>
      </c>
    </row>
    <row r="48" spans="1:9" x14ac:dyDescent="0.25">
      <c r="A48">
        <v>45</v>
      </c>
      <c r="B48" t="s">
        <v>95</v>
      </c>
      <c r="C48">
        <v>21</v>
      </c>
      <c r="D48" t="s">
        <v>203</v>
      </c>
      <c r="E48" t="s">
        <v>96</v>
      </c>
      <c r="F48">
        <v>9.5</v>
      </c>
      <c r="G48">
        <v>5</v>
      </c>
      <c r="H48" t="b">
        <v>0</v>
      </c>
      <c r="I48" s="1">
        <v>45732</v>
      </c>
    </row>
    <row r="49" spans="1:9" x14ac:dyDescent="0.25">
      <c r="A49">
        <v>46</v>
      </c>
      <c r="B49" t="s">
        <v>97</v>
      </c>
      <c r="C49">
        <v>21</v>
      </c>
      <c r="D49" t="s">
        <v>203</v>
      </c>
      <c r="E49" t="s">
        <v>98</v>
      </c>
      <c r="F49">
        <v>12</v>
      </c>
      <c r="G49">
        <v>95</v>
      </c>
      <c r="H49" t="b">
        <v>0</v>
      </c>
      <c r="I49" s="1">
        <v>45955</v>
      </c>
    </row>
    <row r="50" spans="1:9" x14ac:dyDescent="0.25">
      <c r="A50">
        <v>47</v>
      </c>
      <c r="B50" t="s">
        <v>99</v>
      </c>
      <c r="C50">
        <v>22</v>
      </c>
      <c r="D50" t="s">
        <v>199</v>
      </c>
      <c r="E50" t="s">
        <v>100</v>
      </c>
      <c r="F50">
        <v>9.5</v>
      </c>
      <c r="G50">
        <v>36</v>
      </c>
      <c r="H50" t="b">
        <v>0</v>
      </c>
      <c r="I50" s="1">
        <v>45985</v>
      </c>
    </row>
    <row r="51" spans="1:9" x14ac:dyDescent="0.25">
      <c r="A51">
        <v>48</v>
      </c>
      <c r="B51" t="s">
        <v>101</v>
      </c>
      <c r="C51">
        <v>22</v>
      </c>
      <c r="D51" t="s">
        <v>199</v>
      </c>
      <c r="E51" t="s">
        <v>102</v>
      </c>
      <c r="F51">
        <v>12.75</v>
      </c>
      <c r="G51">
        <v>15</v>
      </c>
      <c r="H51" t="b">
        <v>0</v>
      </c>
      <c r="I51" s="1">
        <v>45737</v>
      </c>
    </row>
    <row r="52" spans="1:9" x14ac:dyDescent="0.25">
      <c r="A52">
        <v>49</v>
      </c>
      <c r="B52" t="s">
        <v>103</v>
      </c>
      <c r="C52">
        <v>23</v>
      </c>
      <c r="D52" t="s">
        <v>199</v>
      </c>
      <c r="E52" t="s">
        <v>104</v>
      </c>
      <c r="F52">
        <v>20</v>
      </c>
      <c r="G52">
        <v>10</v>
      </c>
      <c r="H52" t="b">
        <v>0</v>
      </c>
      <c r="I52" s="1">
        <v>45768</v>
      </c>
    </row>
    <row r="53" spans="1:9" x14ac:dyDescent="0.25">
      <c r="A53">
        <v>50</v>
      </c>
      <c r="B53" t="s">
        <v>105</v>
      </c>
      <c r="C53">
        <v>23</v>
      </c>
      <c r="D53" t="s">
        <v>199</v>
      </c>
      <c r="E53" t="s">
        <v>106</v>
      </c>
      <c r="F53">
        <v>16.25</v>
      </c>
      <c r="G53">
        <v>65</v>
      </c>
      <c r="H53" t="b">
        <v>0</v>
      </c>
      <c r="I53" s="1">
        <v>45796</v>
      </c>
    </row>
    <row r="54" spans="1:9" x14ac:dyDescent="0.25">
      <c r="A54">
        <v>51</v>
      </c>
      <c r="B54" t="s">
        <v>107</v>
      </c>
      <c r="C54">
        <v>24</v>
      </c>
      <c r="D54" t="s">
        <v>204</v>
      </c>
      <c r="E54" t="s">
        <v>108</v>
      </c>
      <c r="F54">
        <v>53</v>
      </c>
      <c r="G54">
        <v>20</v>
      </c>
      <c r="H54" t="b">
        <v>0</v>
      </c>
      <c r="I54" s="1">
        <v>45968</v>
      </c>
    </row>
    <row r="55" spans="1:9" x14ac:dyDescent="0.25">
      <c r="A55">
        <v>52</v>
      </c>
      <c r="B55" t="s">
        <v>109</v>
      </c>
      <c r="C55">
        <v>24</v>
      </c>
      <c r="D55" t="s">
        <v>201</v>
      </c>
      <c r="E55" t="s">
        <v>110</v>
      </c>
      <c r="F55">
        <v>7</v>
      </c>
      <c r="G55">
        <v>38</v>
      </c>
      <c r="H55" t="b">
        <v>0</v>
      </c>
      <c r="I55" s="1">
        <v>45730</v>
      </c>
    </row>
    <row r="56" spans="1:9" x14ac:dyDescent="0.25">
      <c r="A56">
        <v>53</v>
      </c>
      <c r="B56" t="s">
        <v>111</v>
      </c>
      <c r="C56">
        <v>24</v>
      </c>
      <c r="D56" t="s">
        <v>202</v>
      </c>
      <c r="E56" t="s">
        <v>112</v>
      </c>
      <c r="F56">
        <v>32.799999999999997</v>
      </c>
      <c r="G56">
        <v>0</v>
      </c>
      <c r="H56" t="b">
        <v>1</v>
      </c>
      <c r="I56" s="1">
        <v>45924</v>
      </c>
    </row>
    <row r="57" spans="1:9" x14ac:dyDescent="0.25">
      <c r="A57">
        <v>54</v>
      </c>
      <c r="B57" t="s">
        <v>113</v>
      </c>
      <c r="C57">
        <v>25</v>
      </c>
      <c r="D57" t="s">
        <v>202</v>
      </c>
      <c r="E57" t="s">
        <v>114</v>
      </c>
      <c r="F57">
        <v>7.45</v>
      </c>
      <c r="G57">
        <v>21</v>
      </c>
      <c r="H57" t="b">
        <v>0</v>
      </c>
      <c r="I57" s="1">
        <v>45987</v>
      </c>
    </row>
    <row r="58" spans="1:9" x14ac:dyDescent="0.25">
      <c r="A58">
        <v>55</v>
      </c>
      <c r="B58" t="s">
        <v>115</v>
      </c>
      <c r="C58">
        <v>25</v>
      </c>
      <c r="D58" t="s">
        <v>202</v>
      </c>
      <c r="E58" t="s">
        <v>116</v>
      </c>
      <c r="F58">
        <v>24</v>
      </c>
      <c r="G58">
        <v>115</v>
      </c>
      <c r="H58" t="b">
        <v>0</v>
      </c>
      <c r="I58" s="1">
        <v>45764</v>
      </c>
    </row>
    <row r="59" spans="1:9" x14ac:dyDescent="0.25">
      <c r="A59">
        <v>56</v>
      </c>
      <c r="B59" t="s">
        <v>117</v>
      </c>
      <c r="C59">
        <v>26</v>
      </c>
      <c r="D59" t="s">
        <v>201</v>
      </c>
      <c r="E59" t="s">
        <v>118</v>
      </c>
      <c r="F59">
        <v>38</v>
      </c>
      <c r="G59">
        <v>21</v>
      </c>
      <c r="H59" t="b">
        <v>0</v>
      </c>
      <c r="I59" s="1">
        <v>45899</v>
      </c>
    </row>
    <row r="60" spans="1:9" x14ac:dyDescent="0.25">
      <c r="A60">
        <v>57</v>
      </c>
      <c r="B60" t="s">
        <v>119</v>
      </c>
      <c r="C60">
        <v>26</v>
      </c>
      <c r="D60" t="s">
        <v>201</v>
      </c>
      <c r="E60" t="s">
        <v>118</v>
      </c>
      <c r="F60">
        <v>19.5</v>
      </c>
      <c r="G60">
        <v>36</v>
      </c>
      <c r="H60" t="b">
        <v>0</v>
      </c>
      <c r="I60" s="1">
        <v>45947</v>
      </c>
    </row>
    <row r="61" spans="1:9" x14ac:dyDescent="0.25">
      <c r="A61">
        <v>58</v>
      </c>
      <c r="B61" t="s">
        <v>120</v>
      </c>
      <c r="C61">
        <v>27</v>
      </c>
      <c r="D61" t="s">
        <v>203</v>
      </c>
      <c r="E61" t="s">
        <v>121</v>
      </c>
      <c r="F61">
        <v>13.25</v>
      </c>
      <c r="G61">
        <v>62</v>
      </c>
      <c r="H61" t="b">
        <v>0</v>
      </c>
      <c r="I61" s="1">
        <v>45793</v>
      </c>
    </row>
    <row r="62" spans="1:9" x14ac:dyDescent="0.25">
      <c r="A62">
        <v>59</v>
      </c>
      <c r="B62" t="s">
        <v>122</v>
      </c>
      <c r="C62">
        <v>28</v>
      </c>
      <c r="D62" t="s">
        <v>200</v>
      </c>
      <c r="E62" t="s">
        <v>123</v>
      </c>
      <c r="F62">
        <v>55</v>
      </c>
      <c r="G62">
        <v>79</v>
      </c>
      <c r="H62" t="b">
        <v>0</v>
      </c>
      <c r="I62" s="1">
        <v>45975</v>
      </c>
    </row>
    <row r="63" spans="1:9" x14ac:dyDescent="0.25">
      <c r="A63">
        <v>60</v>
      </c>
      <c r="B63" t="s">
        <v>124</v>
      </c>
      <c r="C63">
        <v>28</v>
      </c>
      <c r="D63" t="s">
        <v>200</v>
      </c>
      <c r="E63" t="s">
        <v>125</v>
      </c>
      <c r="F63">
        <v>34</v>
      </c>
      <c r="G63">
        <v>19</v>
      </c>
      <c r="H63" t="b">
        <v>0</v>
      </c>
      <c r="I63" s="1">
        <v>45771</v>
      </c>
    </row>
    <row r="64" spans="1:9" x14ac:dyDescent="0.25">
      <c r="A64">
        <v>61</v>
      </c>
      <c r="B64" t="s">
        <v>126</v>
      </c>
      <c r="C64">
        <v>29</v>
      </c>
      <c r="D64" t="s">
        <v>198</v>
      </c>
      <c r="E64" t="s">
        <v>127</v>
      </c>
      <c r="F64">
        <v>28.5</v>
      </c>
      <c r="G64">
        <v>113</v>
      </c>
      <c r="H64" t="b">
        <v>0</v>
      </c>
      <c r="I64" s="1">
        <v>45967</v>
      </c>
    </row>
    <row r="65" spans="1:9" x14ac:dyDescent="0.25">
      <c r="A65">
        <v>62</v>
      </c>
      <c r="B65" t="s">
        <v>128</v>
      </c>
      <c r="C65">
        <v>29</v>
      </c>
      <c r="D65" t="s">
        <v>199</v>
      </c>
      <c r="E65" t="s">
        <v>129</v>
      </c>
      <c r="F65">
        <v>49.3</v>
      </c>
      <c r="G65">
        <v>17</v>
      </c>
      <c r="H65" t="b">
        <v>0</v>
      </c>
      <c r="I65" s="1">
        <v>45846</v>
      </c>
    </row>
    <row r="66" spans="1:9" x14ac:dyDescent="0.25">
      <c r="A66">
        <v>63</v>
      </c>
      <c r="B66" t="s">
        <v>130</v>
      </c>
      <c r="C66">
        <v>7</v>
      </c>
      <c r="D66" t="s">
        <v>198</v>
      </c>
      <c r="E66" t="s">
        <v>131</v>
      </c>
      <c r="F66">
        <v>43.9</v>
      </c>
      <c r="G66">
        <v>24</v>
      </c>
      <c r="H66" t="b">
        <v>0</v>
      </c>
      <c r="I66" s="1">
        <v>45824</v>
      </c>
    </row>
    <row r="67" spans="1:9" x14ac:dyDescent="0.25">
      <c r="A67">
        <v>64</v>
      </c>
      <c r="B67" t="s">
        <v>132</v>
      </c>
      <c r="C67">
        <v>12</v>
      </c>
      <c r="D67" t="s">
        <v>201</v>
      </c>
      <c r="E67" t="s">
        <v>133</v>
      </c>
      <c r="F67">
        <v>33.25</v>
      </c>
      <c r="G67">
        <v>22</v>
      </c>
      <c r="H67" t="b">
        <v>0</v>
      </c>
      <c r="I67" s="1">
        <v>45944</v>
      </c>
    </row>
    <row r="68" spans="1:9" x14ac:dyDescent="0.25">
      <c r="A68">
        <v>65</v>
      </c>
      <c r="B68" t="s">
        <v>134</v>
      </c>
      <c r="C68">
        <v>2</v>
      </c>
      <c r="D68" t="s">
        <v>198</v>
      </c>
      <c r="E68" t="s">
        <v>135</v>
      </c>
      <c r="F68">
        <v>21.05</v>
      </c>
      <c r="G68">
        <v>76</v>
      </c>
      <c r="H68" t="b">
        <v>0</v>
      </c>
      <c r="I68" s="1">
        <v>45715</v>
      </c>
    </row>
    <row r="69" spans="1:9" x14ac:dyDescent="0.25">
      <c r="A69">
        <v>66</v>
      </c>
      <c r="B69" t="s">
        <v>136</v>
      </c>
      <c r="C69">
        <v>2</v>
      </c>
      <c r="D69" t="s">
        <v>198</v>
      </c>
      <c r="E69" t="s">
        <v>137</v>
      </c>
      <c r="F69">
        <v>17</v>
      </c>
      <c r="G69">
        <v>4</v>
      </c>
      <c r="H69" t="b">
        <v>0</v>
      </c>
      <c r="I69" s="1">
        <v>46008</v>
      </c>
    </row>
    <row r="70" spans="1:9" x14ac:dyDescent="0.25">
      <c r="A70">
        <v>67</v>
      </c>
      <c r="B70" t="s">
        <v>138</v>
      </c>
      <c r="C70">
        <v>16</v>
      </c>
      <c r="D70" t="s">
        <v>197</v>
      </c>
      <c r="E70" t="s">
        <v>12</v>
      </c>
      <c r="F70">
        <v>14</v>
      </c>
      <c r="G70">
        <v>52</v>
      </c>
      <c r="H70" t="b">
        <v>0</v>
      </c>
      <c r="I70" s="1">
        <v>45715</v>
      </c>
    </row>
    <row r="71" spans="1:9" x14ac:dyDescent="0.25">
      <c r="A71">
        <v>68</v>
      </c>
      <c r="B71" t="s">
        <v>139</v>
      </c>
      <c r="C71">
        <v>8</v>
      </c>
      <c r="D71" t="s">
        <v>199</v>
      </c>
      <c r="E71" t="s">
        <v>140</v>
      </c>
      <c r="F71">
        <v>12.5</v>
      </c>
      <c r="G71">
        <v>6</v>
      </c>
      <c r="H71" t="b">
        <v>0</v>
      </c>
      <c r="I71" s="1">
        <v>45695</v>
      </c>
    </row>
    <row r="72" spans="1:9" x14ac:dyDescent="0.25">
      <c r="A72">
        <v>69</v>
      </c>
      <c r="B72" t="s">
        <v>141</v>
      </c>
      <c r="C72">
        <v>15</v>
      </c>
      <c r="D72" t="s">
        <v>200</v>
      </c>
      <c r="E72" t="s">
        <v>142</v>
      </c>
      <c r="F72">
        <v>36</v>
      </c>
      <c r="G72">
        <v>26</v>
      </c>
      <c r="H72" t="b">
        <v>0</v>
      </c>
      <c r="I72" s="1">
        <v>45827</v>
      </c>
    </row>
    <row r="73" spans="1:9" x14ac:dyDescent="0.25">
      <c r="A73">
        <v>70</v>
      </c>
      <c r="B73" t="s">
        <v>143</v>
      </c>
      <c r="C73">
        <v>7</v>
      </c>
      <c r="D73" t="s">
        <v>197</v>
      </c>
      <c r="E73" t="s">
        <v>144</v>
      </c>
      <c r="F73">
        <v>15</v>
      </c>
      <c r="G73">
        <v>15</v>
      </c>
      <c r="H73" t="b">
        <v>0</v>
      </c>
      <c r="I73" s="1">
        <v>45827</v>
      </c>
    </row>
    <row r="74" spans="1:9" x14ac:dyDescent="0.25">
      <c r="A74">
        <v>71</v>
      </c>
      <c r="B74" t="s">
        <v>145</v>
      </c>
      <c r="C74">
        <v>15</v>
      </c>
      <c r="D74" t="s">
        <v>200</v>
      </c>
      <c r="E74" t="s">
        <v>32</v>
      </c>
      <c r="F74">
        <v>21.5</v>
      </c>
      <c r="G74">
        <v>26</v>
      </c>
      <c r="H74" t="b">
        <v>0</v>
      </c>
      <c r="I74" s="1">
        <v>46004</v>
      </c>
    </row>
    <row r="75" spans="1:9" x14ac:dyDescent="0.25">
      <c r="A75">
        <v>72</v>
      </c>
      <c r="B75" t="s">
        <v>146</v>
      </c>
      <c r="C75">
        <v>14</v>
      </c>
      <c r="D75" t="s">
        <v>200</v>
      </c>
      <c r="E75" t="s">
        <v>72</v>
      </c>
      <c r="F75">
        <v>34.799999999999997</v>
      </c>
      <c r="G75">
        <v>14</v>
      </c>
      <c r="H75" t="b">
        <v>0</v>
      </c>
      <c r="I75" s="1">
        <v>45717</v>
      </c>
    </row>
    <row r="76" spans="1:9" x14ac:dyDescent="0.25">
      <c r="A76">
        <v>73</v>
      </c>
      <c r="B76" t="s">
        <v>147</v>
      </c>
      <c r="C76">
        <v>17</v>
      </c>
      <c r="D76" t="s">
        <v>203</v>
      </c>
      <c r="E76" t="s">
        <v>148</v>
      </c>
      <c r="F76">
        <v>15</v>
      </c>
      <c r="G76">
        <v>101</v>
      </c>
      <c r="H76" t="b">
        <v>0</v>
      </c>
      <c r="I76" s="1">
        <v>45683</v>
      </c>
    </row>
    <row r="77" spans="1:9" x14ac:dyDescent="0.25">
      <c r="A77">
        <v>74</v>
      </c>
      <c r="B77" t="s">
        <v>149</v>
      </c>
      <c r="C77">
        <v>4</v>
      </c>
      <c r="D77" t="s">
        <v>204</v>
      </c>
      <c r="E77" t="s">
        <v>123</v>
      </c>
      <c r="F77">
        <v>10</v>
      </c>
      <c r="G77">
        <v>4</v>
      </c>
      <c r="H77" t="b">
        <v>0</v>
      </c>
      <c r="I77" s="1">
        <v>45904</v>
      </c>
    </row>
    <row r="78" spans="1:9" x14ac:dyDescent="0.25">
      <c r="A78">
        <v>75</v>
      </c>
      <c r="B78" t="s">
        <v>150</v>
      </c>
      <c r="C78">
        <v>12</v>
      </c>
      <c r="D78" t="s">
        <v>197</v>
      </c>
      <c r="E78" t="s">
        <v>151</v>
      </c>
      <c r="F78">
        <v>7.75</v>
      </c>
      <c r="G78">
        <v>125</v>
      </c>
      <c r="H78" t="b">
        <v>0</v>
      </c>
      <c r="I78" s="1">
        <v>45896</v>
      </c>
    </row>
    <row r="79" spans="1:9" x14ac:dyDescent="0.25">
      <c r="A79">
        <v>76</v>
      </c>
      <c r="B79" t="s">
        <v>152</v>
      </c>
      <c r="C79">
        <v>23</v>
      </c>
      <c r="D79" t="s">
        <v>197</v>
      </c>
      <c r="E79" t="s">
        <v>153</v>
      </c>
      <c r="F79">
        <v>18</v>
      </c>
      <c r="G79">
        <v>57</v>
      </c>
      <c r="H79" t="b">
        <v>0</v>
      </c>
      <c r="I79" s="1">
        <v>45704</v>
      </c>
    </row>
    <row r="80" spans="1:9" x14ac:dyDescent="0.25">
      <c r="A80">
        <v>77</v>
      </c>
      <c r="B80" t="s">
        <v>154</v>
      </c>
      <c r="C80">
        <v>12</v>
      </c>
      <c r="D80" t="s">
        <v>198</v>
      </c>
      <c r="E80" t="s">
        <v>155</v>
      </c>
      <c r="F80">
        <v>13</v>
      </c>
      <c r="G80">
        <v>32</v>
      </c>
      <c r="H80" t="b">
        <v>0</v>
      </c>
      <c r="I80" s="1">
        <v>45883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8795-AD6B-4757-944B-C5D7EC3DDFB6}">
  <dimension ref="A1:R39"/>
  <sheetViews>
    <sheetView zoomScale="107" zoomScaleNormal="107" workbookViewId="0">
      <selection activeCell="P14" sqref="P14"/>
    </sheetView>
  </sheetViews>
  <sheetFormatPr baseColWidth="10" defaultColWidth="8.85546875" defaultRowHeight="15" x14ac:dyDescent="0.25"/>
  <cols>
    <col min="1" max="1" width="10.42578125" customWidth="1"/>
    <col min="2" max="3" width="4.140625" bestFit="1" customWidth="1"/>
    <col min="4" max="4" width="4.28515625" bestFit="1" customWidth="1"/>
    <col min="5" max="5" width="6.42578125" bestFit="1" customWidth="1"/>
    <col min="6" max="6" width="10.28515625" bestFit="1" customWidth="1"/>
    <col min="8" max="8" width="15.140625" bestFit="1" customWidth="1"/>
    <col min="9" max="9" width="5.42578125" customWidth="1"/>
    <col min="10" max="10" width="5.5703125" customWidth="1"/>
    <col min="11" max="11" width="6.140625" customWidth="1"/>
    <col min="12" max="12" width="8.28515625" customWidth="1"/>
    <col min="13" max="13" width="12" customWidth="1"/>
    <col min="16" max="16" width="18" bestFit="1" customWidth="1"/>
    <col min="17" max="17" width="15.140625" bestFit="1" customWidth="1"/>
    <col min="18" max="18" width="12.7109375" bestFit="1" customWidth="1"/>
  </cols>
  <sheetData>
    <row r="1" spans="1:18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8" x14ac:dyDescent="0.25">
      <c r="A4" s="5" t="s">
        <v>156</v>
      </c>
      <c r="B4" s="5"/>
      <c r="C4" s="3"/>
      <c r="D4" s="3"/>
      <c r="E4" s="3"/>
      <c r="F4" s="3"/>
      <c r="G4" s="3"/>
      <c r="H4" s="13" t="s">
        <v>157</v>
      </c>
      <c r="I4" s="13"/>
      <c r="J4" s="3"/>
      <c r="K4" s="3"/>
      <c r="L4" s="3"/>
      <c r="M4" s="3"/>
    </row>
    <row r="5" spans="1:18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Q5" s="5" t="s">
        <v>156</v>
      </c>
      <c r="R5" s="13" t="s">
        <v>157</v>
      </c>
    </row>
    <row r="6" spans="1:18" x14ac:dyDescent="0.25">
      <c r="A6" s="5" t="s">
        <v>158</v>
      </c>
      <c r="B6" s="5" t="s">
        <v>159</v>
      </c>
      <c r="C6" s="5" t="s">
        <v>160</v>
      </c>
      <c r="D6" s="5" t="s">
        <v>161</v>
      </c>
      <c r="E6" s="5" t="s">
        <v>162</v>
      </c>
      <c r="F6" s="5" t="s">
        <v>163</v>
      </c>
      <c r="G6" s="3"/>
      <c r="H6" t="s">
        <v>158</v>
      </c>
      <c r="I6" t="s">
        <v>159</v>
      </c>
      <c r="J6" t="s">
        <v>160</v>
      </c>
      <c r="K6" t="s">
        <v>161</v>
      </c>
      <c r="L6" t="s">
        <v>162</v>
      </c>
      <c r="M6" t="s">
        <v>163</v>
      </c>
      <c r="P6" s="12" t="s">
        <v>187</v>
      </c>
      <c r="Q6">
        <f>SUM(E7:E20)</f>
        <v>9947</v>
      </c>
      <c r="R6">
        <f>SUM(Tableau1[TOTAL])</f>
        <v>9947</v>
      </c>
    </row>
    <row r="7" spans="1:18" x14ac:dyDescent="0.25">
      <c r="A7" s="3" t="s">
        <v>164</v>
      </c>
      <c r="B7" s="3">
        <v>100</v>
      </c>
      <c r="C7" s="3">
        <v>200</v>
      </c>
      <c r="D7" s="3">
        <v>300</v>
      </c>
      <c r="E7" s="3">
        <f>SUM(B7:D7)</f>
        <v>600</v>
      </c>
      <c r="F7" s="10">
        <f t="shared" ref="F7:F20" si="0">E7*(1+tauxTVA)</f>
        <v>648.6</v>
      </c>
      <c r="G7" s="3"/>
      <c r="H7" t="s">
        <v>164</v>
      </c>
      <c r="I7">
        <v>100</v>
      </c>
      <c r="J7">
        <v>200</v>
      </c>
      <c r="K7">
        <v>300</v>
      </c>
      <c r="L7">
        <f>SUM(Tableau1[[#This Row],[jan]:[mar]])</f>
        <v>600</v>
      </c>
      <c r="M7">
        <f>Tableau1[[#This Row],[TOTAL]]*(1+tauxTVA)</f>
        <v>648.6</v>
      </c>
      <c r="P7" s="12"/>
    </row>
    <row r="8" spans="1:18" x14ac:dyDescent="0.25">
      <c r="A8" s="3" t="s">
        <v>165</v>
      </c>
      <c r="B8" s="3">
        <v>110</v>
      </c>
      <c r="C8" s="3">
        <v>205</v>
      </c>
      <c r="D8" s="3">
        <v>302</v>
      </c>
      <c r="E8" s="3">
        <f t="shared" ref="E8:E20" si="1">SUM(B8:D8)</f>
        <v>617</v>
      </c>
      <c r="F8" s="10">
        <f t="shared" si="0"/>
        <v>666.97699999999998</v>
      </c>
      <c r="G8" s="3"/>
      <c r="H8" t="s">
        <v>165</v>
      </c>
      <c r="I8">
        <v>110</v>
      </c>
      <c r="J8">
        <v>205</v>
      </c>
      <c r="K8">
        <v>302</v>
      </c>
      <c r="L8">
        <f>SUM(Tableau1[[#This Row],[jan]:[mar]])</f>
        <v>617</v>
      </c>
      <c r="M8">
        <f>Tableau1[[#This Row],[TOTAL]]*(1+tauxTVA)</f>
        <v>666.97699999999998</v>
      </c>
      <c r="P8" s="12" t="s">
        <v>188</v>
      </c>
      <c r="Q8" s="14">
        <f>SUM(F7:F20)</f>
        <v>10752.707</v>
      </c>
      <c r="R8">
        <f>SUM(Tableau1[TOTAL TTC])</f>
        <v>10752.707</v>
      </c>
    </row>
    <row r="9" spans="1:18" x14ac:dyDescent="0.25">
      <c r="A9" s="3" t="s">
        <v>166</v>
      </c>
      <c r="B9" s="3">
        <v>120</v>
      </c>
      <c r="C9" s="3">
        <v>210</v>
      </c>
      <c r="D9" s="3">
        <v>304</v>
      </c>
      <c r="E9" s="3">
        <f t="shared" si="1"/>
        <v>634</v>
      </c>
      <c r="F9" s="10">
        <f t="shared" si="0"/>
        <v>685.35399999999993</v>
      </c>
      <c r="G9" s="3"/>
      <c r="H9" t="s">
        <v>166</v>
      </c>
      <c r="I9">
        <v>120</v>
      </c>
      <c r="J9">
        <v>210</v>
      </c>
      <c r="K9">
        <v>304</v>
      </c>
      <c r="L9">
        <f>SUM(Tableau1[[#This Row],[jan]:[mar]])</f>
        <v>634</v>
      </c>
      <c r="M9">
        <f>Tableau1[[#This Row],[TOTAL]]*(1+tauxTVA)</f>
        <v>685.35399999999993</v>
      </c>
      <c r="P9" s="12"/>
    </row>
    <row r="10" spans="1:18" x14ac:dyDescent="0.25">
      <c r="A10" s="3" t="s">
        <v>167</v>
      </c>
      <c r="B10" s="3">
        <v>130</v>
      </c>
      <c r="C10" s="3">
        <v>215</v>
      </c>
      <c r="D10" s="3">
        <v>306</v>
      </c>
      <c r="E10" s="3">
        <f t="shared" si="1"/>
        <v>651</v>
      </c>
      <c r="F10" s="10">
        <f t="shared" si="0"/>
        <v>703.73099999999999</v>
      </c>
      <c r="G10" s="3"/>
      <c r="H10" t="s">
        <v>167</v>
      </c>
      <c r="I10">
        <v>130</v>
      </c>
      <c r="J10">
        <v>215</v>
      </c>
      <c r="K10">
        <v>306</v>
      </c>
      <c r="L10">
        <f>SUM(Tableau1[[#This Row],[jan]:[mar]])</f>
        <v>651</v>
      </c>
      <c r="M10">
        <f>Tableau1[[#This Row],[TOTAL]]*(1+tauxTVA)</f>
        <v>703.73099999999999</v>
      </c>
      <c r="P10" s="12" t="s">
        <v>189</v>
      </c>
      <c r="Q10">
        <f>COUNTA(A7:A30)</f>
        <v>14</v>
      </c>
      <c r="R10">
        <f>COUNTA(Tableau1[Magasin])</f>
        <v>14</v>
      </c>
    </row>
    <row r="11" spans="1:18" x14ac:dyDescent="0.25">
      <c r="A11" s="3" t="s">
        <v>168</v>
      </c>
      <c r="B11" s="3">
        <v>140</v>
      </c>
      <c r="C11" s="3">
        <v>220</v>
      </c>
      <c r="D11" s="3">
        <v>308</v>
      </c>
      <c r="E11" s="3">
        <f t="shared" si="1"/>
        <v>668</v>
      </c>
      <c r="F11" s="10">
        <f t="shared" si="0"/>
        <v>722.10799999999995</v>
      </c>
      <c r="G11" s="3"/>
      <c r="H11" t="s">
        <v>168</v>
      </c>
      <c r="I11">
        <v>140</v>
      </c>
      <c r="J11">
        <v>220</v>
      </c>
      <c r="K11">
        <v>308</v>
      </c>
      <c r="L11">
        <f>SUM(Tableau1[[#This Row],[jan]:[mar]])</f>
        <v>668</v>
      </c>
      <c r="M11">
        <f>Tableau1[[#This Row],[TOTAL]]*(1+tauxTVA)</f>
        <v>722.10799999999995</v>
      </c>
    </row>
    <row r="12" spans="1:18" x14ac:dyDescent="0.25">
      <c r="A12" s="3" t="s">
        <v>169</v>
      </c>
      <c r="B12" s="3">
        <v>150</v>
      </c>
      <c r="C12" s="3">
        <v>225</v>
      </c>
      <c r="D12" s="3">
        <v>310</v>
      </c>
      <c r="E12" s="3">
        <f t="shared" si="1"/>
        <v>685</v>
      </c>
      <c r="F12" s="10">
        <f t="shared" si="0"/>
        <v>740.48500000000001</v>
      </c>
      <c r="G12" s="3"/>
      <c r="H12" t="s">
        <v>169</v>
      </c>
      <c r="I12">
        <v>150</v>
      </c>
      <c r="J12">
        <v>225</v>
      </c>
      <c r="K12">
        <v>310</v>
      </c>
      <c r="L12">
        <f>SUM(Tableau1[[#This Row],[jan]:[mar]])</f>
        <v>685</v>
      </c>
      <c r="M12">
        <f>Tableau1[[#This Row],[TOTAL]]*(1+tauxTVA)</f>
        <v>740.48500000000001</v>
      </c>
    </row>
    <row r="13" spans="1:18" x14ac:dyDescent="0.25">
      <c r="A13" s="3" t="s">
        <v>170</v>
      </c>
      <c r="B13" s="3">
        <v>160</v>
      </c>
      <c r="C13" s="3">
        <v>230</v>
      </c>
      <c r="D13" s="3">
        <v>312</v>
      </c>
      <c r="E13" s="3">
        <f t="shared" si="1"/>
        <v>702</v>
      </c>
      <c r="F13" s="10">
        <f t="shared" si="0"/>
        <v>758.86199999999997</v>
      </c>
      <c r="G13" s="3"/>
      <c r="H13" t="s">
        <v>170</v>
      </c>
      <c r="I13">
        <v>160</v>
      </c>
      <c r="J13">
        <v>230</v>
      </c>
      <c r="K13">
        <v>312</v>
      </c>
      <c r="L13">
        <f>SUM(Tableau1[[#This Row],[jan]:[mar]])</f>
        <v>702</v>
      </c>
      <c r="M13">
        <f>Tableau1[[#This Row],[TOTAL]]*(1+tauxTVA)</f>
        <v>758.86199999999997</v>
      </c>
    </row>
    <row r="14" spans="1:18" x14ac:dyDescent="0.25">
      <c r="A14" s="3" t="s">
        <v>171</v>
      </c>
      <c r="B14" s="3">
        <v>170</v>
      </c>
      <c r="C14" s="3">
        <v>235</v>
      </c>
      <c r="D14" s="3">
        <v>314</v>
      </c>
      <c r="E14" s="3">
        <f t="shared" si="1"/>
        <v>719</v>
      </c>
      <c r="F14" s="10">
        <f t="shared" si="0"/>
        <v>777.23899999999992</v>
      </c>
      <c r="G14" s="3"/>
      <c r="H14" t="s">
        <v>171</v>
      </c>
      <c r="I14">
        <v>170</v>
      </c>
      <c r="J14">
        <v>235</v>
      </c>
      <c r="K14">
        <v>314</v>
      </c>
      <c r="L14">
        <f>SUM(Tableau1[[#This Row],[jan]:[mar]])</f>
        <v>719</v>
      </c>
      <c r="M14">
        <f>Tableau1[[#This Row],[TOTAL]]*(1+tauxTVA)</f>
        <v>777.23899999999992</v>
      </c>
    </row>
    <row r="15" spans="1:18" x14ac:dyDescent="0.25">
      <c r="A15" s="3" t="s">
        <v>172</v>
      </c>
      <c r="B15" s="3">
        <v>180</v>
      </c>
      <c r="C15" s="3">
        <v>240</v>
      </c>
      <c r="D15" s="3">
        <v>316</v>
      </c>
      <c r="E15" s="3">
        <f t="shared" si="1"/>
        <v>736</v>
      </c>
      <c r="F15" s="10">
        <f t="shared" si="0"/>
        <v>795.61599999999999</v>
      </c>
      <c r="G15" s="3"/>
      <c r="H15" t="s">
        <v>172</v>
      </c>
      <c r="I15">
        <v>180</v>
      </c>
      <c r="J15">
        <v>240</v>
      </c>
      <c r="K15">
        <v>316</v>
      </c>
      <c r="L15">
        <f>SUM(Tableau1[[#This Row],[jan]:[mar]])</f>
        <v>736</v>
      </c>
      <c r="M15">
        <f>Tableau1[[#This Row],[TOTAL]]*(1+tauxTVA)</f>
        <v>795.61599999999999</v>
      </c>
    </row>
    <row r="16" spans="1:18" x14ac:dyDescent="0.25">
      <c r="A16" s="3" t="s">
        <v>173</v>
      </c>
      <c r="B16" s="3">
        <v>190</v>
      </c>
      <c r="C16" s="3">
        <v>245</v>
      </c>
      <c r="D16" s="3">
        <v>318</v>
      </c>
      <c r="E16" s="3">
        <f t="shared" si="1"/>
        <v>753</v>
      </c>
      <c r="F16" s="10">
        <f t="shared" si="0"/>
        <v>813.99299999999994</v>
      </c>
      <c r="G16" s="3"/>
      <c r="H16" t="s">
        <v>173</v>
      </c>
      <c r="I16">
        <v>190</v>
      </c>
      <c r="J16">
        <v>245</v>
      </c>
      <c r="K16">
        <v>318</v>
      </c>
      <c r="L16">
        <f>SUM(Tableau1[[#This Row],[jan]:[mar]])</f>
        <v>753</v>
      </c>
      <c r="M16">
        <f>Tableau1[[#This Row],[TOTAL]]*(1+tauxTVA)</f>
        <v>813.99299999999994</v>
      </c>
    </row>
    <row r="17" spans="1:13" x14ac:dyDescent="0.25">
      <c r="A17" s="3" t="s">
        <v>174</v>
      </c>
      <c r="B17" s="3">
        <v>200</v>
      </c>
      <c r="C17" s="3">
        <v>250</v>
      </c>
      <c r="D17" s="3">
        <v>320</v>
      </c>
      <c r="E17" s="3">
        <f t="shared" si="1"/>
        <v>770</v>
      </c>
      <c r="F17" s="10">
        <f t="shared" si="0"/>
        <v>832.37</v>
      </c>
      <c r="G17" s="3"/>
      <c r="H17" t="s">
        <v>174</v>
      </c>
      <c r="I17">
        <v>200</v>
      </c>
      <c r="J17">
        <v>250</v>
      </c>
      <c r="K17">
        <v>320</v>
      </c>
      <c r="L17">
        <f>SUM(Tableau1[[#This Row],[jan]:[mar]])</f>
        <v>770</v>
      </c>
      <c r="M17">
        <f>Tableau1[[#This Row],[TOTAL]]*(1+tauxTVA)</f>
        <v>832.37</v>
      </c>
    </row>
    <row r="18" spans="1:13" x14ac:dyDescent="0.25">
      <c r="A18" s="3" t="s">
        <v>175</v>
      </c>
      <c r="B18" s="3">
        <v>210</v>
      </c>
      <c r="C18" s="3">
        <v>255</v>
      </c>
      <c r="D18" s="3">
        <v>322</v>
      </c>
      <c r="E18" s="3">
        <f t="shared" si="1"/>
        <v>787</v>
      </c>
      <c r="F18" s="10">
        <f t="shared" si="0"/>
        <v>850.74699999999996</v>
      </c>
      <c r="G18" s="3"/>
      <c r="H18" t="s">
        <v>175</v>
      </c>
      <c r="I18">
        <v>210</v>
      </c>
      <c r="J18">
        <v>255</v>
      </c>
      <c r="K18">
        <v>322</v>
      </c>
      <c r="L18">
        <f>SUM(Tableau1[[#This Row],[jan]:[mar]])</f>
        <v>787</v>
      </c>
      <c r="M18">
        <f>Tableau1[[#This Row],[TOTAL]]*(1+tauxTVA)</f>
        <v>850.74699999999996</v>
      </c>
    </row>
    <row r="19" spans="1:13" x14ac:dyDescent="0.25">
      <c r="A19" s="3" t="s">
        <v>176</v>
      </c>
      <c r="B19" s="3">
        <v>220</v>
      </c>
      <c r="C19" s="3">
        <v>260</v>
      </c>
      <c r="D19" s="3">
        <v>324</v>
      </c>
      <c r="E19" s="3">
        <f t="shared" si="1"/>
        <v>804</v>
      </c>
      <c r="F19" s="10">
        <f t="shared" si="0"/>
        <v>869.12400000000002</v>
      </c>
      <c r="G19" s="3"/>
      <c r="H19" t="s">
        <v>176</v>
      </c>
      <c r="I19">
        <v>220</v>
      </c>
      <c r="J19">
        <v>260</v>
      </c>
      <c r="K19">
        <v>324</v>
      </c>
      <c r="L19">
        <f>SUM(Tableau1[[#This Row],[jan]:[mar]])</f>
        <v>804</v>
      </c>
      <c r="M19">
        <f>Tableau1[[#This Row],[TOTAL]]*(1+tauxTVA)</f>
        <v>869.12400000000002</v>
      </c>
    </row>
    <row r="20" spans="1:13" x14ac:dyDescent="0.25">
      <c r="A20" s="3" t="s">
        <v>177</v>
      </c>
      <c r="B20" s="3">
        <v>230</v>
      </c>
      <c r="C20" s="3">
        <v>265</v>
      </c>
      <c r="D20" s="3">
        <v>326</v>
      </c>
      <c r="E20" s="3">
        <f t="shared" si="1"/>
        <v>821</v>
      </c>
      <c r="F20" s="10">
        <f t="shared" si="0"/>
        <v>887.50099999999998</v>
      </c>
      <c r="G20" s="3"/>
      <c r="H20" t="s">
        <v>177</v>
      </c>
      <c r="I20">
        <v>230</v>
      </c>
      <c r="J20">
        <v>265</v>
      </c>
      <c r="K20">
        <v>326</v>
      </c>
      <c r="L20">
        <f>SUM(Tableau1[[#This Row],[jan]:[mar]])</f>
        <v>821</v>
      </c>
      <c r="M20">
        <f>Tableau1[[#This Row],[TOTAL]]*(1+tauxTVA)</f>
        <v>887.50099999999998</v>
      </c>
    </row>
    <row r="21" spans="1:13" x14ac:dyDescent="0.25">
      <c r="A21" s="3"/>
      <c r="B21" s="3"/>
      <c r="C21" s="3"/>
      <c r="D21" s="3"/>
      <c r="E21" s="3"/>
      <c r="F21" s="10"/>
      <c r="G21" s="3"/>
      <c r="H21" s="3"/>
      <c r="I21" s="3"/>
      <c r="J21" s="3"/>
      <c r="K21" s="3"/>
      <c r="L21" s="3"/>
      <c r="M21" s="3"/>
    </row>
    <row r="22" spans="1:13" x14ac:dyDescent="0.25">
      <c r="A22" s="3"/>
      <c r="B22" s="3"/>
      <c r="C22" s="3"/>
      <c r="D22" s="3"/>
      <c r="E22" s="3"/>
      <c r="F22" s="10"/>
      <c r="G22" s="3"/>
      <c r="H22" s="3"/>
      <c r="I22" s="3"/>
      <c r="J22" s="3"/>
      <c r="K22" s="3"/>
      <c r="L22" s="3"/>
      <c r="M22" s="3"/>
    </row>
    <row r="23" spans="1:13" x14ac:dyDescent="0.25">
      <c r="A23" s="3"/>
      <c r="B23" s="3"/>
      <c r="C23" s="3"/>
      <c r="D23" s="3"/>
      <c r="E23" s="3"/>
      <c r="F23" s="10"/>
      <c r="G23" s="3"/>
      <c r="H23" s="3"/>
      <c r="I23" s="3"/>
      <c r="J23" s="3"/>
      <c r="K23" s="3"/>
      <c r="L23" s="3"/>
      <c r="M23" s="3"/>
    </row>
    <row r="24" spans="1:13" x14ac:dyDescent="0.25">
      <c r="A24" s="3"/>
      <c r="B24" s="3"/>
      <c r="C24" s="3"/>
      <c r="D24" s="3"/>
      <c r="E24" s="3"/>
      <c r="F24" s="10"/>
      <c r="G24" s="3"/>
    </row>
    <row r="25" spans="1:13" x14ac:dyDescent="0.25">
      <c r="A25" s="3"/>
      <c r="B25" s="3"/>
      <c r="C25" s="3"/>
      <c r="D25" s="3"/>
      <c r="E25" s="3"/>
      <c r="F25" s="10"/>
      <c r="G25" s="3"/>
    </row>
    <row r="26" spans="1:13" x14ac:dyDescent="0.25">
      <c r="A26" s="3"/>
      <c r="B26" s="3"/>
      <c r="C26" s="3"/>
      <c r="D26" s="3"/>
      <c r="E26" s="3"/>
      <c r="F26" s="10"/>
      <c r="G26" s="3"/>
    </row>
    <row r="27" spans="1:13" x14ac:dyDescent="0.25">
      <c r="A27" s="3"/>
      <c r="B27" s="3"/>
      <c r="C27" s="3"/>
      <c r="D27" s="3"/>
      <c r="E27" s="3"/>
      <c r="F27" s="10"/>
      <c r="G27" s="3"/>
    </row>
    <row r="28" spans="1:13" x14ac:dyDescent="0.25">
      <c r="A28" s="3"/>
      <c r="B28" s="3"/>
      <c r="C28" s="3"/>
      <c r="D28" s="3"/>
      <c r="E28" s="3"/>
      <c r="F28" s="3"/>
      <c r="G28" s="3"/>
    </row>
    <row r="29" spans="1:13" x14ac:dyDescent="0.25">
      <c r="A29" s="3"/>
      <c r="B29" s="3"/>
      <c r="C29" s="3"/>
      <c r="D29" s="3"/>
      <c r="E29" s="3"/>
      <c r="F29" s="3"/>
      <c r="G29" s="3"/>
    </row>
    <row r="30" spans="1:13" x14ac:dyDescent="0.25">
      <c r="A30" s="3"/>
      <c r="B30" s="3"/>
      <c r="C30" s="3"/>
      <c r="D30" s="3"/>
      <c r="E30" s="3"/>
      <c r="F30" s="3"/>
      <c r="G30" s="3"/>
    </row>
    <row r="31" spans="1:13" x14ac:dyDescent="0.25">
      <c r="A31" s="3"/>
      <c r="B31" s="3"/>
      <c r="C31" s="3"/>
      <c r="D31" s="3"/>
      <c r="E31" s="3"/>
      <c r="F31" s="3"/>
      <c r="G31" s="3"/>
    </row>
    <row r="32" spans="1:13" x14ac:dyDescent="0.25">
      <c r="A32" s="3" t="s">
        <v>178</v>
      </c>
      <c r="B32" s="3"/>
      <c r="C32" s="3"/>
      <c r="D32" s="3"/>
      <c r="E32" s="3"/>
      <c r="F32" s="3"/>
      <c r="G32" s="3"/>
    </row>
    <row r="33" spans="1:4" x14ac:dyDescent="0.25">
      <c r="A33" s="3" t="s">
        <v>179</v>
      </c>
      <c r="B33" s="3">
        <v>155</v>
      </c>
      <c r="C33" s="3">
        <v>112</v>
      </c>
      <c r="D33">
        <v>188</v>
      </c>
    </row>
    <row r="34" spans="1:4" x14ac:dyDescent="0.25">
      <c r="A34" s="3" t="s">
        <v>180</v>
      </c>
      <c r="B34" s="3">
        <v>165</v>
      </c>
      <c r="C34" s="3">
        <v>225</v>
      </c>
      <c r="D34" s="3">
        <v>152</v>
      </c>
    </row>
    <row r="35" spans="1:4" x14ac:dyDescent="0.25">
      <c r="A35" s="3" t="s">
        <v>181</v>
      </c>
      <c r="B35" s="3">
        <v>190</v>
      </c>
      <c r="C35" s="3">
        <v>214</v>
      </c>
      <c r="D35" s="3">
        <v>245</v>
      </c>
    </row>
    <row r="36" spans="1:4" x14ac:dyDescent="0.25">
      <c r="A36" s="3" t="s">
        <v>182</v>
      </c>
      <c r="B36" s="3">
        <v>210</v>
      </c>
      <c r="C36" s="3">
        <v>258</v>
      </c>
      <c r="D36" s="3">
        <v>354</v>
      </c>
    </row>
    <row r="37" spans="1:4" x14ac:dyDescent="0.25">
      <c r="A37" s="3" t="s">
        <v>183</v>
      </c>
      <c r="B37" s="3">
        <v>224</v>
      </c>
      <c r="C37" s="3">
        <v>301</v>
      </c>
      <c r="D37" s="3">
        <v>321</v>
      </c>
    </row>
    <row r="38" spans="1:4" x14ac:dyDescent="0.25">
      <c r="A38" s="3" t="s">
        <v>184</v>
      </c>
      <c r="B38" s="3">
        <v>290</v>
      </c>
      <c r="C38" s="3">
        <v>340</v>
      </c>
      <c r="D38" s="3">
        <v>365</v>
      </c>
    </row>
    <row r="39" spans="1:4" x14ac:dyDescent="0.25">
      <c r="A39" s="3" t="s">
        <v>185</v>
      </c>
      <c r="B39" s="3">
        <v>190</v>
      </c>
      <c r="C39" s="3">
        <v>170</v>
      </c>
      <c r="D39" s="3">
        <v>300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D17C-E874-4F52-AD58-2A634825D154}">
  <dimension ref="A1:W39"/>
  <sheetViews>
    <sheetView zoomScale="107" zoomScaleNormal="107" workbookViewId="0">
      <selection sqref="A1:XFD2"/>
    </sheetView>
  </sheetViews>
  <sheetFormatPr baseColWidth="10" defaultColWidth="8.85546875" defaultRowHeight="15" x14ac:dyDescent="0.25"/>
  <cols>
    <col min="1" max="1" width="10.42578125" customWidth="1"/>
    <col min="2" max="3" width="4.140625" bestFit="1" customWidth="1"/>
    <col min="4" max="4" width="4.28515625" bestFit="1" customWidth="1"/>
    <col min="5" max="5" width="6.42578125" bestFit="1" customWidth="1"/>
    <col min="6" max="6" width="10.28515625" bestFit="1" customWidth="1"/>
    <col min="8" max="8" width="12.7109375" bestFit="1" customWidth="1"/>
    <col min="9" max="9" width="5.42578125" customWidth="1"/>
    <col min="10" max="10" width="5.5703125" customWidth="1"/>
    <col min="11" max="11" width="6.140625" customWidth="1"/>
    <col min="12" max="12" width="8.28515625" customWidth="1"/>
    <col min="13" max="13" width="12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3" x14ac:dyDescent="0.25">
      <c r="A4" s="5" t="s">
        <v>156</v>
      </c>
      <c r="B4" s="5"/>
      <c r="C4" s="3"/>
      <c r="D4" s="3"/>
      <c r="E4" s="3"/>
      <c r="F4" s="3"/>
      <c r="G4" s="3"/>
      <c r="H4" s="6" t="s">
        <v>157</v>
      </c>
      <c r="I4" s="6"/>
      <c r="J4" s="3"/>
      <c r="K4" s="3"/>
      <c r="L4" s="3"/>
      <c r="M4" s="3"/>
    </row>
    <row r="5" spans="1:2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23" x14ac:dyDescent="0.25">
      <c r="A6" s="5" t="s">
        <v>158</v>
      </c>
      <c r="B6" s="5" t="s">
        <v>159</v>
      </c>
      <c r="C6" s="5" t="s">
        <v>160</v>
      </c>
      <c r="D6" s="5" t="s">
        <v>161</v>
      </c>
      <c r="E6" s="5" t="s">
        <v>162</v>
      </c>
      <c r="F6" s="5" t="s">
        <v>163</v>
      </c>
      <c r="G6" s="3"/>
      <c r="H6" s="7" t="s">
        <v>158</v>
      </c>
      <c r="I6" s="7" t="s">
        <v>159</v>
      </c>
      <c r="J6" s="7" t="s">
        <v>160</v>
      </c>
      <c r="K6" s="7" t="s">
        <v>161</v>
      </c>
      <c r="L6" s="7" t="s">
        <v>162</v>
      </c>
      <c r="M6" s="7" t="s">
        <v>163</v>
      </c>
    </row>
    <row r="7" spans="1:23" x14ac:dyDescent="0.25">
      <c r="A7" s="3" t="s">
        <v>164</v>
      </c>
      <c r="B7" s="3">
        <v>100</v>
      </c>
      <c r="C7" s="3">
        <v>200</v>
      </c>
      <c r="D7" s="3">
        <v>300</v>
      </c>
      <c r="E7" s="3">
        <f>SUM(B7:D7)</f>
        <v>600</v>
      </c>
      <c r="F7" s="10">
        <f t="shared" ref="F7:F20" si="0">E7*(1+tauxTVA)</f>
        <v>648.6</v>
      </c>
      <c r="G7" s="3"/>
      <c r="H7" s="8" t="s">
        <v>164</v>
      </c>
      <c r="I7" s="8">
        <v>100</v>
      </c>
      <c r="J7" s="8">
        <v>200</v>
      </c>
      <c r="K7" s="8">
        <v>300</v>
      </c>
      <c r="L7" s="8">
        <f>SUM(Tableau13[[#This Row],[jan]:[mar]])</f>
        <v>600</v>
      </c>
      <c r="M7" s="11">
        <f>Tableau13[[#This Row],[TOTAL]]*(1+tauxTVA)</f>
        <v>648.6</v>
      </c>
    </row>
    <row r="8" spans="1:23" x14ac:dyDescent="0.25">
      <c r="A8" s="3" t="s">
        <v>165</v>
      </c>
      <c r="B8" s="3">
        <v>110</v>
      </c>
      <c r="C8" s="3">
        <v>205</v>
      </c>
      <c r="D8" s="3">
        <v>302</v>
      </c>
      <c r="E8" s="3">
        <f t="shared" ref="E8:E20" si="1">SUM(B8:D8)</f>
        <v>617</v>
      </c>
      <c r="F8" s="10">
        <f t="shared" si="0"/>
        <v>666.97699999999998</v>
      </c>
      <c r="G8" s="3"/>
      <c r="H8" s="3" t="s">
        <v>165</v>
      </c>
      <c r="I8" s="3">
        <v>110</v>
      </c>
      <c r="J8" s="3">
        <v>205</v>
      </c>
      <c r="K8" s="3">
        <v>302</v>
      </c>
      <c r="L8" s="3">
        <f>SUM(Tableau13[[#This Row],[jan]:[mar]])</f>
        <v>617</v>
      </c>
      <c r="M8" s="10">
        <f>Tableau13[[#This Row],[TOTAL]]*(1+tauxTVA)</f>
        <v>666.97699999999998</v>
      </c>
    </row>
    <row r="9" spans="1:23" x14ac:dyDescent="0.25">
      <c r="A9" s="3" t="s">
        <v>166</v>
      </c>
      <c r="B9" s="3">
        <v>120</v>
      </c>
      <c r="C9" s="3">
        <v>210</v>
      </c>
      <c r="D9" s="3">
        <v>304</v>
      </c>
      <c r="E9" s="3">
        <f t="shared" si="1"/>
        <v>634</v>
      </c>
      <c r="F9" s="10">
        <f t="shared" si="0"/>
        <v>685.35399999999993</v>
      </c>
      <c r="G9" s="3"/>
      <c r="H9" s="8" t="s">
        <v>166</v>
      </c>
      <c r="I9" s="8">
        <v>120</v>
      </c>
      <c r="J9" s="8">
        <v>210</v>
      </c>
      <c r="K9" s="8">
        <v>304</v>
      </c>
      <c r="L9" s="8">
        <f>SUM(Tableau13[[#This Row],[jan]:[mar]])</f>
        <v>634</v>
      </c>
      <c r="M9" s="11">
        <f>Tableau13[[#This Row],[TOTAL]]*(1+tauxTVA)</f>
        <v>685.35399999999993</v>
      </c>
    </row>
    <row r="10" spans="1:23" x14ac:dyDescent="0.25">
      <c r="A10" s="3" t="s">
        <v>167</v>
      </c>
      <c r="B10" s="3">
        <v>130</v>
      </c>
      <c r="C10" s="3">
        <v>215</v>
      </c>
      <c r="D10" s="3">
        <v>306</v>
      </c>
      <c r="E10" s="3">
        <f t="shared" si="1"/>
        <v>651</v>
      </c>
      <c r="F10" s="10">
        <f t="shared" si="0"/>
        <v>703.73099999999999</v>
      </c>
      <c r="G10" s="3"/>
      <c r="H10" s="3" t="s">
        <v>167</v>
      </c>
      <c r="I10" s="3">
        <v>130</v>
      </c>
      <c r="J10" s="3">
        <v>215</v>
      </c>
      <c r="K10" s="3">
        <v>306</v>
      </c>
      <c r="L10" s="3">
        <f>SUM(Tableau13[[#This Row],[jan]:[mar]])</f>
        <v>651</v>
      </c>
      <c r="M10" s="10">
        <f>Tableau13[[#This Row],[TOTAL]]*(1+tauxTVA)</f>
        <v>703.73099999999999</v>
      </c>
    </row>
    <row r="11" spans="1:23" x14ac:dyDescent="0.25">
      <c r="A11" s="3" t="s">
        <v>168</v>
      </c>
      <c r="B11" s="3">
        <v>140</v>
      </c>
      <c r="C11" s="3">
        <v>220</v>
      </c>
      <c r="D11" s="3">
        <v>308</v>
      </c>
      <c r="E11" s="3">
        <f t="shared" si="1"/>
        <v>668</v>
      </c>
      <c r="F11" s="10">
        <f t="shared" si="0"/>
        <v>722.10799999999995</v>
      </c>
      <c r="G11" s="3"/>
      <c r="H11" s="8" t="s">
        <v>168</v>
      </c>
      <c r="I11" s="8">
        <v>140</v>
      </c>
      <c r="J11" s="8">
        <v>220</v>
      </c>
      <c r="K11" s="8">
        <v>308</v>
      </c>
      <c r="L11" s="8">
        <f>SUM(Tableau13[[#This Row],[jan]:[mar]])</f>
        <v>668</v>
      </c>
      <c r="M11" s="11">
        <f>Tableau13[[#This Row],[TOTAL]]*(1+tauxTVA)</f>
        <v>722.10799999999995</v>
      </c>
    </row>
    <row r="12" spans="1:23" x14ac:dyDescent="0.25">
      <c r="A12" s="3" t="s">
        <v>169</v>
      </c>
      <c r="B12" s="3">
        <v>150</v>
      </c>
      <c r="C12" s="3">
        <v>225</v>
      </c>
      <c r="D12" s="3">
        <v>310</v>
      </c>
      <c r="E12" s="3">
        <f t="shared" si="1"/>
        <v>685</v>
      </c>
      <c r="F12" s="10">
        <f t="shared" si="0"/>
        <v>740.48500000000001</v>
      </c>
      <c r="G12" s="3"/>
      <c r="H12" s="3" t="s">
        <v>169</v>
      </c>
      <c r="I12" s="3">
        <v>150</v>
      </c>
      <c r="J12" s="3">
        <v>225</v>
      </c>
      <c r="K12" s="3">
        <v>310</v>
      </c>
      <c r="L12" s="3">
        <f>SUM(Tableau13[[#This Row],[jan]:[mar]])</f>
        <v>685</v>
      </c>
      <c r="M12" s="10">
        <f>Tableau13[[#This Row],[TOTAL]]*(1+tauxTVA)</f>
        <v>740.48500000000001</v>
      </c>
    </row>
    <row r="13" spans="1:23" x14ac:dyDescent="0.25">
      <c r="A13" s="3" t="s">
        <v>170</v>
      </c>
      <c r="B13" s="3">
        <v>160</v>
      </c>
      <c r="C13" s="3">
        <v>230</v>
      </c>
      <c r="D13" s="3">
        <v>312</v>
      </c>
      <c r="E13" s="3">
        <f t="shared" si="1"/>
        <v>702</v>
      </c>
      <c r="F13" s="10">
        <f t="shared" si="0"/>
        <v>758.86199999999997</v>
      </c>
      <c r="G13" s="3"/>
      <c r="H13" s="8" t="s">
        <v>170</v>
      </c>
      <c r="I13" s="8">
        <v>160</v>
      </c>
      <c r="J13" s="8">
        <v>230</v>
      </c>
      <c r="K13" s="8">
        <v>312</v>
      </c>
      <c r="L13" s="8">
        <f>SUM(Tableau13[[#This Row],[jan]:[mar]])</f>
        <v>702</v>
      </c>
      <c r="M13" s="11">
        <f>Tableau13[[#This Row],[TOTAL]]*(1+tauxTVA)</f>
        <v>758.86199999999997</v>
      </c>
    </row>
    <row r="14" spans="1:23" x14ac:dyDescent="0.25">
      <c r="A14" s="3" t="s">
        <v>171</v>
      </c>
      <c r="B14" s="3">
        <v>170</v>
      </c>
      <c r="C14" s="3">
        <v>235</v>
      </c>
      <c r="D14" s="3">
        <v>314</v>
      </c>
      <c r="E14" s="3">
        <f t="shared" si="1"/>
        <v>719</v>
      </c>
      <c r="F14" s="10">
        <f t="shared" si="0"/>
        <v>777.23899999999992</v>
      </c>
      <c r="G14" s="3"/>
      <c r="H14" s="3" t="s">
        <v>171</v>
      </c>
      <c r="I14" s="3">
        <v>170</v>
      </c>
      <c r="J14" s="3">
        <v>235</v>
      </c>
      <c r="K14" s="3">
        <v>314</v>
      </c>
      <c r="L14" s="3">
        <f>SUM(Tableau13[[#This Row],[jan]:[mar]])</f>
        <v>719</v>
      </c>
      <c r="M14" s="10">
        <f>Tableau13[[#This Row],[TOTAL]]*(1+tauxTVA)</f>
        <v>777.23899999999992</v>
      </c>
    </row>
    <row r="15" spans="1:23" x14ac:dyDescent="0.25">
      <c r="A15" s="3" t="s">
        <v>172</v>
      </c>
      <c r="B15" s="3">
        <v>180</v>
      </c>
      <c r="C15" s="3">
        <v>240</v>
      </c>
      <c r="D15" s="3">
        <v>316</v>
      </c>
      <c r="E15" s="3">
        <f t="shared" si="1"/>
        <v>736</v>
      </c>
      <c r="F15" s="10">
        <f t="shared" si="0"/>
        <v>795.61599999999999</v>
      </c>
      <c r="G15" s="3"/>
      <c r="H15" s="8" t="s">
        <v>172</v>
      </c>
      <c r="I15" s="8">
        <v>180</v>
      </c>
      <c r="J15" s="8">
        <v>240</v>
      </c>
      <c r="K15" s="8">
        <v>316</v>
      </c>
      <c r="L15" s="8">
        <f>SUM(Tableau13[[#This Row],[jan]:[mar]])</f>
        <v>736</v>
      </c>
      <c r="M15" s="11">
        <f>Tableau13[[#This Row],[TOTAL]]*(1+tauxTVA)</f>
        <v>795.61599999999999</v>
      </c>
    </row>
    <row r="16" spans="1:23" x14ac:dyDescent="0.25">
      <c r="A16" s="3" t="s">
        <v>173</v>
      </c>
      <c r="B16" s="3">
        <v>190</v>
      </c>
      <c r="C16" s="3">
        <v>245</v>
      </c>
      <c r="D16" s="3">
        <v>318</v>
      </c>
      <c r="E16" s="3">
        <f t="shared" si="1"/>
        <v>753</v>
      </c>
      <c r="F16" s="10">
        <f t="shared" si="0"/>
        <v>813.99299999999994</v>
      </c>
      <c r="G16" s="3"/>
      <c r="H16" s="3" t="s">
        <v>173</v>
      </c>
      <c r="I16" s="3">
        <v>190</v>
      </c>
      <c r="J16" s="3">
        <v>245</v>
      </c>
      <c r="K16" s="3">
        <v>318</v>
      </c>
      <c r="L16" s="3">
        <f>SUM(Tableau13[[#This Row],[jan]:[mar]])</f>
        <v>753</v>
      </c>
      <c r="M16" s="10">
        <f>Tableau13[[#This Row],[TOTAL]]*(1+tauxTVA)</f>
        <v>813.99299999999994</v>
      </c>
    </row>
    <row r="17" spans="1:13" x14ac:dyDescent="0.25">
      <c r="A17" s="3" t="s">
        <v>174</v>
      </c>
      <c r="B17" s="3">
        <v>200</v>
      </c>
      <c r="C17" s="3">
        <v>250</v>
      </c>
      <c r="D17" s="3">
        <v>320</v>
      </c>
      <c r="E17" s="3">
        <f t="shared" si="1"/>
        <v>770</v>
      </c>
      <c r="F17" s="10">
        <f t="shared" si="0"/>
        <v>832.37</v>
      </c>
      <c r="G17" s="3"/>
      <c r="H17" s="8" t="s">
        <v>174</v>
      </c>
      <c r="I17" s="8">
        <v>200</v>
      </c>
      <c r="J17" s="8">
        <v>250</v>
      </c>
      <c r="K17" s="8">
        <v>320</v>
      </c>
      <c r="L17" s="8">
        <f>SUM(Tableau13[[#This Row],[jan]:[mar]])</f>
        <v>770</v>
      </c>
      <c r="M17" s="11">
        <f>Tableau13[[#This Row],[TOTAL]]*(1+tauxTVA)</f>
        <v>832.37</v>
      </c>
    </row>
    <row r="18" spans="1:13" x14ac:dyDescent="0.25">
      <c r="A18" s="3" t="s">
        <v>175</v>
      </c>
      <c r="B18" s="3">
        <v>210</v>
      </c>
      <c r="C18" s="3">
        <v>255</v>
      </c>
      <c r="D18" s="3">
        <v>322</v>
      </c>
      <c r="E18" s="3">
        <f t="shared" si="1"/>
        <v>787</v>
      </c>
      <c r="F18" s="10">
        <f t="shared" si="0"/>
        <v>850.74699999999996</v>
      </c>
      <c r="G18" s="3"/>
      <c r="H18" s="3" t="s">
        <v>175</v>
      </c>
      <c r="I18" s="3">
        <v>210</v>
      </c>
      <c r="J18" s="3">
        <v>255</v>
      </c>
      <c r="K18" s="3">
        <v>322</v>
      </c>
      <c r="L18" s="3">
        <f>SUM(Tableau13[[#This Row],[jan]:[mar]])</f>
        <v>787</v>
      </c>
      <c r="M18" s="10">
        <f>Tableau13[[#This Row],[TOTAL]]*(1+tauxTVA)</f>
        <v>850.74699999999996</v>
      </c>
    </row>
    <row r="19" spans="1:13" x14ac:dyDescent="0.25">
      <c r="A19" s="3" t="s">
        <v>176</v>
      </c>
      <c r="B19" s="3">
        <v>220</v>
      </c>
      <c r="C19" s="3">
        <v>260</v>
      </c>
      <c r="D19" s="3">
        <v>324</v>
      </c>
      <c r="E19" s="3">
        <f t="shared" si="1"/>
        <v>804</v>
      </c>
      <c r="F19" s="10">
        <f t="shared" si="0"/>
        <v>869.12400000000002</v>
      </c>
      <c r="G19" s="3"/>
      <c r="H19" s="8" t="s">
        <v>176</v>
      </c>
      <c r="I19" s="8">
        <v>220</v>
      </c>
      <c r="J19" s="8">
        <v>260</v>
      </c>
      <c r="K19" s="8">
        <v>324</v>
      </c>
      <c r="L19" s="8">
        <f>SUM(Tableau13[[#This Row],[jan]:[mar]])</f>
        <v>804</v>
      </c>
      <c r="M19" s="11">
        <f>Tableau13[[#This Row],[TOTAL]]*(1+tauxTVA)</f>
        <v>869.12400000000002</v>
      </c>
    </row>
    <row r="20" spans="1:13" x14ac:dyDescent="0.25">
      <c r="A20" s="3" t="s">
        <v>177</v>
      </c>
      <c r="B20" s="3">
        <v>230</v>
      </c>
      <c r="C20" s="3">
        <v>265</v>
      </c>
      <c r="D20" s="3">
        <v>326</v>
      </c>
      <c r="E20" s="3">
        <f t="shared" si="1"/>
        <v>821</v>
      </c>
      <c r="F20" s="10">
        <f t="shared" si="0"/>
        <v>887.50099999999998</v>
      </c>
      <c r="G20" s="3"/>
      <c r="H20" s="3" t="s">
        <v>177</v>
      </c>
      <c r="I20" s="3">
        <v>230</v>
      </c>
      <c r="J20" s="3">
        <v>265</v>
      </c>
      <c r="K20" s="3">
        <v>326</v>
      </c>
      <c r="L20" s="3">
        <f>SUM(Tableau13[[#This Row],[jan]:[mar]])</f>
        <v>821</v>
      </c>
      <c r="M20" s="10">
        <f>Tableau13[[#This Row],[TOTAL]]*(1+tauxTVA)</f>
        <v>887.50099999999998</v>
      </c>
    </row>
    <row r="21" spans="1:13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s="3" t="s">
        <v>178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4" x14ac:dyDescent="0.25">
      <c r="A33" s="3" t="s">
        <v>179</v>
      </c>
      <c r="B33" s="3">
        <v>155</v>
      </c>
      <c r="C33" s="3">
        <v>112</v>
      </c>
      <c r="D33" s="3">
        <v>188</v>
      </c>
    </row>
    <row r="34" spans="1:4" x14ac:dyDescent="0.25">
      <c r="A34" s="3" t="s">
        <v>180</v>
      </c>
      <c r="B34" s="3">
        <v>165</v>
      </c>
      <c r="C34" s="3">
        <v>225</v>
      </c>
      <c r="D34" s="3">
        <v>152</v>
      </c>
    </row>
    <row r="35" spans="1:4" x14ac:dyDescent="0.25">
      <c r="A35" s="3" t="s">
        <v>181</v>
      </c>
      <c r="B35" s="3">
        <v>190</v>
      </c>
      <c r="C35" s="3">
        <v>214</v>
      </c>
      <c r="D35" s="3">
        <v>245</v>
      </c>
    </row>
    <row r="36" spans="1:4" x14ac:dyDescent="0.25">
      <c r="A36" s="3" t="s">
        <v>182</v>
      </c>
      <c r="B36" s="3">
        <v>210</v>
      </c>
      <c r="C36" s="3">
        <v>258</v>
      </c>
      <c r="D36" s="3">
        <v>354</v>
      </c>
    </row>
    <row r="37" spans="1:4" x14ac:dyDescent="0.25">
      <c r="A37" s="3" t="s">
        <v>183</v>
      </c>
      <c r="B37" s="3">
        <v>224</v>
      </c>
      <c r="C37" s="3">
        <v>301</v>
      </c>
      <c r="D37" s="3">
        <v>321</v>
      </c>
    </row>
    <row r="38" spans="1:4" x14ac:dyDescent="0.25">
      <c r="A38" s="3" t="s">
        <v>184</v>
      </c>
      <c r="B38" s="3">
        <v>290</v>
      </c>
      <c r="C38" s="3">
        <v>340</v>
      </c>
      <c r="D38" s="3">
        <v>365</v>
      </c>
    </row>
    <row r="39" spans="1:4" x14ac:dyDescent="0.25">
      <c r="A39" s="3" t="s">
        <v>185</v>
      </c>
      <c r="B39" s="3">
        <v>190</v>
      </c>
      <c r="C39" s="3">
        <v>170</v>
      </c>
      <c r="D39" s="3">
        <v>300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2098-60F4-4757-A5D8-496D206B27BA}">
  <dimension ref="A1:I80"/>
  <sheetViews>
    <sheetView topLeftCell="B1" zoomScale="110" zoomScaleNormal="110" workbookViewId="0">
      <selection activeCell="G4" sqref="G4:G80"/>
    </sheetView>
  </sheetViews>
  <sheetFormatPr baseColWidth="10" defaultColWidth="8.85546875" defaultRowHeight="15" x14ac:dyDescent="0.25"/>
  <cols>
    <col min="1" max="1" width="11.28515625" customWidth="1"/>
    <col min="2" max="2" width="29.28515625" bestFit="1" customWidth="1"/>
    <col min="3" max="3" width="14.28515625" customWidth="1"/>
    <col min="4" max="4" width="12.28515625" customWidth="1"/>
    <col min="5" max="5" width="17.7109375" bestFit="1" customWidth="1"/>
    <col min="6" max="6" width="10.5703125" customWidth="1"/>
    <col min="7" max="7" width="12.7109375" customWidth="1"/>
    <col min="8" max="8" width="15.85546875" customWidth="1"/>
    <col min="9" max="9" width="11.7109375" customWidth="1"/>
  </cols>
  <sheetData>
    <row r="1" spans="1:9" ht="37.15" customHeight="1" x14ac:dyDescent="0.25">
      <c r="A1" s="2" t="e" vm="1">
        <v>#VALUE!</v>
      </c>
      <c r="B1" s="2" t="e" vm="1">
        <v>#VALUE!</v>
      </c>
      <c r="C1" s="2"/>
      <c r="D1" s="2"/>
      <c r="E1" s="2"/>
      <c r="F1" s="2"/>
      <c r="G1" s="2"/>
      <c r="H1" s="2"/>
      <c r="I1" s="2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</row>
    <row r="4" spans="1:9" x14ac:dyDescent="0.25">
      <c r="A4">
        <v>1</v>
      </c>
      <c r="B4" t="s">
        <v>9</v>
      </c>
      <c r="C4">
        <v>1</v>
      </c>
      <c r="D4" t="s">
        <v>197</v>
      </c>
      <c r="E4" t="s">
        <v>10</v>
      </c>
      <c r="F4">
        <v>18</v>
      </c>
      <c r="G4">
        <v>39</v>
      </c>
      <c r="H4" t="b">
        <v>0</v>
      </c>
      <c r="I4" s="1">
        <v>45953</v>
      </c>
    </row>
    <row r="5" spans="1:9" x14ac:dyDescent="0.25">
      <c r="A5">
        <v>2</v>
      </c>
      <c r="B5" t="s">
        <v>11</v>
      </c>
      <c r="C5">
        <v>1</v>
      </c>
      <c r="D5" t="s">
        <v>197</v>
      </c>
      <c r="E5" t="s">
        <v>12</v>
      </c>
      <c r="F5">
        <v>19</v>
      </c>
      <c r="G5">
        <v>17</v>
      </c>
      <c r="H5" t="b">
        <v>0</v>
      </c>
      <c r="I5" s="1">
        <v>46007</v>
      </c>
    </row>
    <row r="6" spans="1:9" x14ac:dyDescent="0.25">
      <c r="A6">
        <v>3</v>
      </c>
      <c r="B6" t="s">
        <v>13</v>
      </c>
      <c r="C6">
        <v>1</v>
      </c>
      <c r="D6" t="s">
        <v>198</v>
      </c>
      <c r="E6" t="s">
        <v>14</v>
      </c>
      <c r="F6">
        <v>10</v>
      </c>
      <c r="G6">
        <v>13</v>
      </c>
      <c r="H6" t="b">
        <v>0</v>
      </c>
      <c r="I6" s="1">
        <v>45752</v>
      </c>
    </row>
    <row r="7" spans="1:9" x14ac:dyDescent="0.25">
      <c r="A7">
        <v>4</v>
      </c>
      <c r="B7" t="s">
        <v>15</v>
      </c>
      <c r="C7">
        <v>2</v>
      </c>
      <c r="D7" t="s">
        <v>198</v>
      </c>
      <c r="E7" t="s">
        <v>16</v>
      </c>
      <c r="F7">
        <v>22</v>
      </c>
      <c r="G7">
        <v>53</v>
      </c>
      <c r="H7" t="b">
        <v>0</v>
      </c>
      <c r="I7" s="1">
        <v>45659</v>
      </c>
    </row>
    <row r="8" spans="1:9" x14ac:dyDescent="0.25">
      <c r="A8">
        <v>5</v>
      </c>
      <c r="B8" t="s">
        <v>17</v>
      </c>
      <c r="C8">
        <v>2</v>
      </c>
      <c r="D8" t="s">
        <v>198</v>
      </c>
      <c r="E8" t="s">
        <v>18</v>
      </c>
      <c r="F8">
        <v>21.35</v>
      </c>
      <c r="G8">
        <v>0</v>
      </c>
      <c r="H8" t="b">
        <v>1</v>
      </c>
      <c r="I8" s="1">
        <v>46002</v>
      </c>
    </row>
    <row r="9" spans="1:9" x14ac:dyDescent="0.25">
      <c r="A9">
        <v>6</v>
      </c>
      <c r="B9" t="s">
        <v>19</v>
      </c>
      <c r="C9">
        <v>3</v>
      </c>
      <c r="D9" t="s">
        <v>198</v>
      </c>
      <c r="E9" t="s">
        <v>20</v>
      </c>
      <c r="F9">
        <v>25</v>
      </c>
      <c r="G9">
        <v>120</v>
      </c>
      <c r="H9" t="b">
        <v>0</v>
      </c>
      <c r="I9" s="1">
        <v>45869</v>
      </c>
    </row>
    <row r="10" spans="1:9" x14ac:dyDescent="0.25">
      <c r="A10">
        <v>7</v>
      </c>
      <c r="B10" t="s">
        <v>21</v>
      </c>
      <c r="C10">
        <v>3</v>
      </c>
      <c r="D10" t="s">
        <v>204</v>
      </c>
      <c r="E10" t="s">
        <v>22</v>
      </c>
      <c r="F10">
        <v>30</v>
      </c>
      <c r="G10">
        <v>15</v>
      </c>
      <c r="H10" t="b">
        <v>0</v>
      </c>
      <c r="I10" s="1">
        <v>45995</v>
      </c>
    </row>
    <row r="11" spans="1:9" x14ac:dyDescent="0.25">
      <c r="A11">
        <v>8</v>
      </c>
      <c r="B11" t="s">
        <v>23</v>
      </c>
      <c r="C11">
        <v>3</v>
      </c>
      <c r="D11" t="s">
        <v>198</v>
      </c>
      <c r="E11" t="s">
        <v>24</v>
      </c>
      <c r="F11">
        <v>40</v>
      </c>
      <c r="G11">
        <v>6</v>
      </c>
      <c r="H11" t="b">
        <v>0</v>
      </c>
      <c r="I11" s="1">
        <v>45857</v>
      </c>
    </row>
    <row r="12" spans="1:9" x14ac:dyDescent="0.25">
      <c r="A12">
        <v>9</v>
      </c>
      <c r="B12" t="s">
        <v>25</v>
      </c>
      <c r="C12">
        <v>4</v>
      </c>
      <c r="D12" t="s">
        <v>202</v>
      </c>
      <c r="E12" t="s">
        <v>26</v>
      </c>
      <c r="F12">
        <v>97</v>
      </c>
      <c r="G12">
        <v>29</v>
      </c>
      <c r="H12" t="b">
        <v>1</v>
      </c>
      <c r="I12" s="1">
        <v>45663</v>
      </c>
    </row>
    <row r="13" spans="1:9" x14ac:dyDescent="0.25">
      <c r="A13">
        <v>10</v>
      </c>
      <c r="B13" t="s">
        <v>27</v>
      </c>
      <c r="C13">
        <v>4</v>
      </c>
      <c r="D13" t="s">
        <v>203</v>
      </c>
      <c r="E13" t="s">
        <v>28</v>
      </c>
      <c r="F13">
        <v>31</v>
      </c>
      <c r="G13">
        <v>31</v>
      </c>
      <c r="H13" t="b">
        <v>0</v>
      </c>
      <c r="I13" s="1">
        <v>45757</v>
      </c>
    </row>
    <row r="14" spans="1:9" x14ac:dyDescent="0.25">
      <c r="A14">
        <v>11</v>
      </c>
      <c r="B14" t="s">
        <v>29</v>
      </c>
      <c r="C14">
        <v>5</v>
      </c>
      <c r="D14" t="s">
        <v>200</v>
      </c>
      <c r="E14" t="s">
        <v>30</v>
      </c>
      <c r="F14">
        <v>21</v>
      </c>
      <c r="G14">
        <v>22</v>
      </c>
      <c r="H14" t="b">
        <v>0</v>
      </c>
      <c r="I14" s="1">
        <v>45976</v>
      </c>
    </row>
    <row r="15" spans="1:9" x14ac:dyDescent="0.25">
      <c r="A15">
        <v>12</v>
      </c>
      <c r="B15" t="s">
        <v>31</v>
      </c>
      <c r="C15">
        <v>5</v>
      </c>
      <c r="D15" t="s">
        <v>200</v>
      </c>
      <c r="E15" t="s">
        <v>32</v>
      </c>
      <c r="F15">
        <v>38</v>
      </c>
      <c r="G15">
        <v>86</v>
      </c>
      <c r="H15" t="b">
        <v>0</v>
      </c>
      <c r="I15" s="1">
        <v>45894</v>
      </c>
    </row>
    <row r="16" spans="1:9" x14ac:dyDescent="0.25">
      <c r="A16">
        <v>13</v>
      </c>
      <c r="B16" t="s">
        <v>33</v>
      </c>
      <c r="C16">
        <v>6</v>
      </c>
      <c r="D16" t="s">
        <v>203</v>
      </c>
      <c r="E16" t="s">
        <v>34</v>
      </c>
      <c r="F16">
        <v>6</v>
      </c>
      <c r="G16">
        <v>24</v>
      </c>
      <c r="H16" t="b">
        <v>0</v>
      </c>
      <c r="I16" s="1">
        <v>45936</v>
      </c>
    </row>
    <row r="17" spans="1:9" x14ac:dyDescent="0.25">
      <c r="A17">
        <v>14</v>
      </c>
      <c r="B17" t="s">
        <v>35</v>
      </c>
      <c r="C17">
        <v>6</v>
      </c>
      <c r="D17" t="s">
        <v>204</v>
      </c>
      <c r="E17" t="s">
        <v>36</v>
      </c>
      <c r="F17">
        <v>23.25</v>
      </c>
      <c r="G17">
        <v>35</v>
      </c>
      <c r="H17" t="b">
        <v>0</v>
      </c>
      <c r="I17" s="1">
        <v>45994</v>
      </c>
    </row>
    <row r="18" spans="1:9" x14ac:dyDescent="0.25">
      <c r="A18">
        <v>15</v>
      </c>
      <c r="B18" t="s">
        <v>37</v>
      </c>
      <c r="C18">
        <v>6</v>
      </c>
      <c r="D18" t="s">
        <v>198</v>
      </c>
      <c r="E18" t="s">
        <v>38</v>
      </c>
      <c r="F18">
        <v>15.5</v>
      </c>
      <c r="G18">
        <v>39</v>
      </c>
      <c r="H18" t="b">
        <v>0</v>
      </c>
      <c r="I18" s="1">
        <v>45910</v>
      </c>
    </row>
    <row r="19" spans="1:9" x14ac:dyDescent="0.25">
      <c r="A19">
        <v>16</v>
      </c>
      <c r="B19" t="s">
        <v>39</v>
      </c>
      <c r="C19">
        <v>7</v>
      </c>
      <c r="D19" t="s">
        <v>199</v>
      </c>
      <c r="E19" t="s">
        <v>40</v>
      </c>
      <c r="F19">
        <v>17.45</v>
      </c>
      <c r="G19">
        <v>29</v>
      </c>
      <c r="H19" t="b">
        <v>0</v>
      </c>
      <c r="I19" s="1">
        <v>45722</v>
      </c>
    </row>
    <row r="20" spans="1:9" x14ac:dyDescent="0.25">
      <c r="A20">
        <v>17</v>
      </c>
      <c r="B20" t="s">
        <v>41</v>
      </c>
      <c r="C20">
        <v>7</v>
      </c>
      <c r="D20" t="s">
        <v>202</v>
      </c>
      <c r="E20" t="s">
        <v>42</v>
      </c>
      <c r="F20">
        <v>39</v>
      </c>
      <c r="G20">
        <v>0</v>
      </c>
      <c r="H20" t="b">
        <v>1</v>
      </c>
      <c r="I20" s="1">
        <v>45884</v>
      </c>
    </row>
    <row r="21" spans="1:9" x14ac:dyDescent="0.25">
      <c r="A21">
        <v>18</v>
      </c>
      <c r="B21" t="s">
        <v>43</v>
      </c>
      <c r="C21">
        <v>7</v>
      </c>
      <c r="D21" t="s">
        <v>203</v>
      </c>
      <c r="E21" t="s">
        <v>44</v>
      </c>
      <c r="F21">
        <v>62.5</v>
      </c>
      <c r="G21">
        <v>42</v>
      </c>
      <c r="H21" t="b">
        <v>0</v>
      </c>
      <c r="I21" s="1">
        <v>45679</v>
      </c>
    </row>
    <row r="22" spans="1:9" x14ac:dyDescent="0.25">
      <c r="A22">
        <v>19</v>
      </c>
      <c r="B22" t="s">
        <v>45</v>
      </c>
      <c r="C22">
        <v>8</v>
      </c>
      <c r="D22" t="s">
        <v>199</v>
      </c>
      <c r="E22" t="s">
        <v>46</v>
      </c>
      <c r="F22">
        <v>9.1999999999999993</v>
      </c>
      <c r="G22">
        <v>25</v>
      </c>
      <c r="H22" t="b">
        <v>0</v>
      </c>
      <c r="I22" s="1">
        <v>45739</v>
      </c>
    </row>
    <row r="23" spans="1:9" x14ac:dyDescent="0.25">
      <c r="A23">
        <v>20</v>
      </c>
      <c r="B23" t="s">
        <v>47</v>
      </c>
      <c r="C23">
        <v>8</v>
      </c>
      <c r="D23" t="s">
        <v>199</v>
      </c>
      <c r="E23" t="s">
        <v>48</v>
      </c>
      <c r="F23">
        <v>81</v>
      </c>
      <c r="G23">
        <v>40</v>
      </c>
      <c r="H23" t="b">
        <v>0</v>
      </c>
      <c r="I23" s="1">
        <v>45914</v>
      </c>
    </row>
    <row r="24" spans="1:9" x14ac:dyDescent="0.25">
      <c r="A24">
        <v>21</v>
      </c>
      <c r="B24" t="s">
        <v>49</v>
      </c>
      <c r="C24">
        <v>8</v>
      </c>
      <c r="D24" t="s">
        <v>199</v>
      </c>
      <c r="E24" t="s">
        <v>50</v>
      </c>
      <c r="F24">
        <v>10</v>
      </c>
      <c r="G24">
        <v>3</v>
      </c>
      <c r="H24" t="b">
        <v>0</v>
      </c>
      <c r="I24" s="1">
        <v>45844</v>
      </c>
    </row>
    <row r="25" spans="1:9" x14ac:dyDescent="0.25">
      <c r="A25">
        <v>22</v>
      </c>
      <c r="B25" t="s">
        <v>51</v>
      </c>
      <c r="C25">
        <v>9</v>
      </c>
      <c r="D25" t="s">
        <v>201</v>
      </c>
      <c r="E25" t="s">
        <v>52</v>
      </c>
      <c r="F25">
        <v>21</v>
      </c>
      <c r="G25">
        <v>104</v>
      </c>
      <c r="H25" t="b">
        <v>0</v>
      </c>
      <c r="I25" s="1">
        <v>45724</v>
      </c>
    </row>
    <row r="26" spans="1:9" x14ac:dyDescent="0.25">
      <c r="A26">
        <v>23</v>
      </c>
      <c r="B26" t="s">
        <v>53</v>
      </c>
      <c r="C26">
        <v>9</v>
      </c>
      <c r="D26" t="s">
        <v>201</v>
      </c>
      <c r="E26" t="s">
        <v>54</v>
      </c>
      <c r="F26">
        <v>9</v>
      </c>
      <c r="G26">
        <v>61</v>
      </c>
      <c r="H26" t="b">
        <v>0</v>
      </c>
      <c r="I26" s="1">
        <v>46011</v>
      </c>
    </row>
    <row r="27" spans="1:9" x14ac:dyDescent="0.25">
      <c r="A27">
        <v>24</v>
      </c>
      <c r="B27" t="s">
        <v>55</v>
      </c>
      <c r="C27">
        <v>10</v>
      </c>
      <c r="D27" t="s">
        <v>197</v>
      </c>
      <c r="E27" t="s">
        <v>56</v>
      </c>
      <c r="F27">
        <v>4.5</v>
      </c>
      <c r="G27">
        <v>20</v>
      </c>
      <c r="H27" t="b">
        <v>1</v>
      </c>
      <c r="I27" s="1">
        <v>46018</v>
      </c>
    </row>
    <row r="28" spans="1:9" x14ac:dyDescent="0.25">
      <c r="A28">
        <v>25</v>
      </c>
      <c r="B28" t="s">
        <v>57</v>
      </c>
      <c r="C28">
        <v>11</v>
      </c>
      <c r="D28" t="s">
        <v>199</v>
      </c>
      <c r="E28" t="s">
        <v>58</v>
      </c>
      <c r="F28">
        <v>14</v>
      </c>
      <c r="G28">
        <v>76</v>
      </c>
      <c r="H28" t="b">
        <v>0</v>
      </c>
      <c r="I28" s="1">
        <v>45692</v>
      </c>
    </row>
    <row r="29" spans="1:9" x14ac:dyDescent="0.25">
      <c r="A29">
        <v>26</v>
      </c>
      <c r="B29" t="s">
        <v>59</v>
      </c>
      <c r="C29">
        <v>11</v>
      </c>
      <c r="D29" t="s">
        <v>199</v>
      </c>
      <c r="E29" t="s">
        <v>60</v>
      </c>
      <c r="F29">
        <v>31.23</v>
      </c>
      <c r="G29">
        <v>15</v>
      </c>
      <c r="H29" t="b">
        <v>0</v>
      </c>
      <c r="I29" s="1">
        <v>45911</v>
      </c>
    </row>
    <row r="30" spans="1:9" x14ac:dyDescent="0.25">
      <c r="A30">
        <v>27</v>
      </c>
      <c r="B30" t="s">
        <v>61</v>
      </c>
      <c r="C30">
        <v>11</v>
      </c>
      <c r="D30" t="s">
        <v>199</v>
      </c>
      <c r="E30" t="s">
        <v>62</v>
      </c>
      <c r="F30">
        <v>43.9</v>
      </c>
      <c r="G30">
        <v>49</v>
      </c>
      <c r="H30" t="b">
        <v>0</v>
      </c>
      <c r="I30" s="1">
        <v>45784</v>
      </c>
    </row>
    <row r="31" spans="1:9" x14ac:dyDescent="0.25">
      <c r="A31">
        <v>28</v>
      </c>
      <c r="B31" t="s">
        <v>63</v>
      </c>
      <c r="C31">
        <v>12</v>
      </c>
      <c r="D31" t="s">
        <v>204</v>
      </c>
      <c r="E31" t="s">
        <v>64</v>
      </c>
      <c r="F31">
        <v>45.6</v>
      </c>
      <c r="G31">
        <v>26</v>
      </c>
      <c r="H31" t="b">
        <v>1</v>
      </c>
      <c r="I31" s="1">
        <v>45731</v>
      </c>
    </row>
    <row r="32" spans="1:9" x14ac:dyDescent="0.25">
      <c r="A32">
        <v>29</v>
      </c>
      <c r="B32" t="s">
        <v>65</v>
      </c>
      <c r="C32">
        <v>12</v>
      </c>
      <c r="D32" t="s">
        <v>202</v>
      </c>
      <c r="E32" t="s">
        <v>66</v>
      </c>
      <c r="F32">
        <v>123.79</v>
      </c>
      <c r="G32">
        <v>0</v>
      </c>
      <c r="H32" t="b">
        <v>1</v>
      </c>
      <c r="I32" s="1">
        <v>45943</v>
      </c>
    </row>
    <row r="33" spans="1:9" x14ac:dyDescent="0.25">
      <c r="A33">
        <v>30</v>
      </c>
      <c r="B33" t="s">
        <v>67</v>
      </c>
      <c r="C33">
        <v>13</v>
      </c>
      <c r="D33" t="s">
        <v>203</v>
      </c>
      <c r="E33" t="s">
        <v>68</v>
      </c>
      <c r="F33">
        <v>25.89</v>
      </c>
      <c r="G33">
        <v>10</v>
      </c>
      <c r="H33" t="b">
        <v>0</v>
      </c>
      <c r="I33" s="1">
        <v>45723</v>
      </c>
    </row>
    <row r="34" spans="1:9" x14ac:dyDescent="0.25">
      <c r="A34">
        <v>31</v>
      </c>
      <c r="B34" t="s">
        <v>69</v>
      </c>
      <c r="C34">
        <v>14</v>
      </c>
      <c r="D34" t="s">
        <v>200</v>
      </c>
      <c r="E34" t="s">
        <v>70</v>
      </c>
      <c r="F34">
        <v>12.5</v>
      </c>
      <c r="G34">
        <v>0</v>
      </c>
      <c r="H34" t="b">
        <v>0</v>
      </c>
      <c r="I34" s="1">
        <v>45791</v>
      </c>
    </row>
    <row r="35" spans="1:9" x14ac:dyDescent="0.25">
      <c r="A35">
        <v>32</v>
      </c>
      <c r="B35" t="s">
        <v>71</v>
      </c>
      <c r="C35">
        <v>14</v>
      </c>
      <c r="D35" t="s">
        <v>200</v>
      </c>
      <c r="E35" t="s">
        <v>72</v>
      </c>
      <c r="F35">
        <v>32</v>
      </c>
      <c r="G35">
        <v>9</v>
      </c>
      <c r="H35" t="b">
        <v>0</v>
      </c>
      <c r="I35" s="1">
        <v>46011</v>
      </c>
    </row>
    <row r="36" spans="1:9" x14ac:dyDescent="0.25">
      <c r="A36">
        <v>33</v>
      </c>
      <c r="B36" t="s">
        <v>73</v>
      </c>
      <c r="C36">
        <v>15</v>
      </c>
      <c r="D36" t="s">
        <v>200</v>
      </c>
      <c r="E36" t="s">
        <v>74</v>
      </c>
      <c r="F36">
        <v>2.5</v>
      </c>
      <c r="G36">
        <v>112</v>
      </c>
      <c r="H36" t="b">
        <v>0</v>
      </c>
      <c r="I36" s="1">
        <v>45804</v>
      </c>
    </row>
    <row r="37" spans="1:9" x14ac:dyDescent="0.25">
      <c r="A37">
        <v>34</v>
      </c>
      <c r="B37" t="s">
        <v>75</v>
      </c>
      <c r="C37">
        <v>16</v>
      </c>
      <c r="D37" t="s">
        <v>197</v>
      </c>
      <c r="E37" t="s">
        <v>12</v>
      </c>
      <c r="F37">
        <v>14</v>
      </c>
      <c r="G37">
        <v>111</v>
      </c>
      <c r="H37" t="b">
        <v>0</v>
      </c>
      <c r="I37" s="1">
        <v>45723</v>
      </c>
    </row>
    <row r="38" spans="1:9" x14ac:dyDescent="0.25">
      <c r="A38">
        <v>35</v>
      </c>
      <c r="B38" t="s">
        <v>76</v>
      </c>
      <c r="C38">
        <v>16</v>
      </c>
      <c r="D38" t="s">
        <v>197</v>
      </c>
      <c r="E38" t="s">
        <v>12</v>
      </c>
      <c r="F38">
        <v>18</v>
      </c>
      <c r="G38">
        <v>20</v>
      </c>
      <c r="H38" t="b">
        <v>0</v>
      </c>
      <c r="I38" s="1">
        <v>45973</v>
      </c>
    </row>
    <row r="39" spans="1:9" x14ac:dyDescent="0.25">
      <c r="A39">
        <v>36</v>
      </c>
      <c r="B39" t="s">
        <v>77</v>
      </c>
      <c r="C39">
        <v>17</v>
      </c>
      <c r="D39" t="s">
        <v>203</v>
      </c>
      <c r="E39" t="s">
        <v>78</v>
      </c>
      <c r="F39">
        <v>19</v>
      </c>
      <c r="G39">
        <v>112</v>
      </c>
      <c r="H39" t="b">
        <v>0</v>
      </c>
      <c r="I39" s="1">
        <v>45990</v>
      </c>
    </row>
    <row r="40" spans="1:9" x14ac:dyDescent="0.25">
      <c r="A40">
        <v>37</v>
      </c>
      <c r="B40" t="s">
        <v>79</v>
      </c>
      <c r="C40">
        <v>17</v>
      </c>
      <c r="D40" t="s">
        <v>203</v>
      </c>
      <c r="E40" t="s">
        <v>80</v>
      </c>
      <c r="F40">
        <v>26</v>
      </c>
      <c r="G40">
        <v>11</v>
      </c>
      <c r="H40" t="b">
        <v>0</v>
      </c>
      <c r="I40" s="1">
        <v>45870</v>
      </c>
    </row>
    <row r="41" spans="1:9" x14ac:dyDescent="0.25">
      <c r="A41">
        <v>38</v>
      </c>
      <c r="B41" t="s">
        <v>81</v>
      </c>
      <c r="C41">
        <v>18</v>
      </c>
      <c r="D41" t="s">
        <v>197</v>
      </c>
      <c r="E41" t="s">
        <v>82</v>
      </c>
      <c r="F41">
        <v>263.5</v>
      </c>
      <c r="G41">
        <v>17</v>
      </c>
      <c r="H41" t="b">
        <v>0</v>
      </c>
      <c r="I41" s="1">
        <v>45841</v>
      </c>
    </row>
    <row r="42" spans="1:9" x14ac:dyDescent="0.25">
      <c r="A42">
        <v>39</v>
      </c>
      <c r="B42" t="s">
        <v>83</v>
      </c>
      <c r="C42">
        <v>18</v>
      </c>
      <c r="D42" t="s">
        <v>197</v>
      </c>
      <c r="E42" t="s">
        <v>84</v>
      </c>
      <c r="F42">
        <v>18</v>
      </c>
      <c r="G42">
        <v>69</v>
      </c>
      <c r="H42" t="b">
        <v>0</v>
      </c>
      <c r="I42" s="1">
        <v>45860</v>
      </c>
    </row>
    <row r="43" spans="1:9" x14ac:dyDescent="0.25">
      <c r="A43">
        <v>40</v>
      </c>
      <c r="B43" t="s">
        <v>85</v>
      </c>
      <c r="C43">
        <v>19</v>
      </c>
      <c r="D43" t="s">
        <v>203</v>
      </c>
      <c r="E43" t="s">
        <v>86</v>
      </c>
      <c r="F43">
        <v>18.399999999999999</v>
      </c>
      <c r="G43">
        <v>123</v>
      </c>
      <c r="H43" t="b">
        <v>0</v>
      </c>
      <c r="I43" s="1">
        <v>45681</v>
      </c>
    </row>
    <row r="44" spans="1:9" x14ac:dyDescent="0.25">
      <c r="A44">
        <v>41</v>
      </c>
      <c r="B44" t="s">
        <v>87</v>
      </c>
      <c r="C44">
        <v>19</v>
      </c>
      <c r="D44" t="s">
        <v>203</v>
      </c>
      <c r="E44" t="s">
        <v>88</v>
      </c>
      <c r="F44">
        <v>9.65</v>
      </c>
      <c r="G44">
        <v>85</v>
      </c>
      <c r="H44" t="b">
        <v>0</v>
      </c>
      <c r="I44" s="1">
        <v>45856</v>
      </c>
    </row>
    <row r="45" spans="1:9" x14ac:dyDescent="0.25">
      <c r="A45">
        <v>42</v>
      </c>
      <c r="B45" t="s">
        <v>89</v>
      </c>
      <c r="C45">
        <v>20</v>
      </c>
      <c r="D45" t="s">
        <v>201</v>
      </c>
      <c r="E45" t="s">
        <v>90</v>
      </c>
      <c r="F45">
        <v>14</v>
      </c>
      <c r="G45">
        <v>26</v>
      </c>
      <c r="H45" t="b">
        <v>1</v>
      </c>
      <c r="I45" s="1">
        <v>45974</v>
      </c>
    </row>
    <row r="46" spans="1:9" x14ac:dyDescent="0.25">
      <c r="A46">
        <v>43</v>
      </c>
      <c r="B46" t="s">
        <v>91</v>
      </c>
      <c r="C46">
        <v>20</v>
      </c>
      <c r="D46" t="s">
        <v>197</v>
      </c>
      <c r="E46" t="s">
        <v>92</v>
      </c>
      <c r="F46">
        <v>46</v>
      </c>
      <c r="G46">
        <v>17</v>
      </c>
      <c r="H46" t="b">
        <v>0</v>
      </c>
      <c r="I46" s="1">
        <v>45793</v>
      </c>
    </row>
    <row r="47" spans="1:9" x14ac:dyDescent="0.25">
      <c r="A47">
        <v>44</v>
      </c>
      <c r="B47" t="s">
        <v>93</v>
      </c>
      <c r="C47">
        <v>20</v>
      </c>
      <c r="D47" t="s">
        <v>198</v>
      </c>
      <c r="E47" t="s">
        <v>94</v>
      </c>
      <c r="F47">
        <v>19.45</v>
      </c>
      <c r="G47">
        <v>27</v>
      </c>
      <c r="H47" t="b">
        <v>0</v>
      </c>
      <c r="I47" s="1">
        <v>46010</v>
      </c>
    </row>
    <row r="48" spans="1:9" x14ac:dyDescent="0.25">
      <c r="A48">
        <v>45</v>
      </c>
      <c r="B48" t="s">
        <v>95</v>
      </c>
      <c r="C48">
        <v>21</v>
      </c>
      <c r="D48" t="s">
        <v>203</v>
      </c>
      <c r="E48" t="s">
        <v>96</v>
      </c>
      <c r="F48">
        <v>9.5</v>
      </c>
      <c r="G48">
        <v>5</v>
      </c>
      <c r="H48" t="b">
        <v>0</v>
      </c>
      <c r="I48" s="1">
        <v>45732</v>
      </c>
    </row>
    <row r="49" spans="1:9" x14ac:dyDescent="0.25">
      <c r="A49">
        <v>46</v>
      </c>
      <c r="B49" t="s">
        <v>97</v>
      </c>
      <c r="C49">
        <v>21</v>
      </c>
      <c r="D49" t="s">
        <v>203</v>
      </c>
      <c r="E49" t="s">
        <v>98</v>
      </c>
      <c r="F49">
        <v>12</v>
      </c>
      <c r="G49">
        <v>95</v>
      </c>
      <c r="H49" t="b">
        <v>0</v>
      </c>
      <c r="I49" s="1">
        <v>45955</v>
      </c>
    </row>
    <row r="50" spans="1:9" x14ac:dyDescent="0.25">
      <c r="A50">
        <v>47</v>
      </c>
      <c r="B50" t="s">
        <v>99</v>
      </c>
      <c r="C50">
        <v>22</v>
      </c>
      <c r="D50" t="s">
        <v>199</v>
      </c>
      <c r="E50" t="s">
        <v>100</v>
      </c>
      <c r="F50">
        <v>9.5</v>
      </c>
      <c r="G50">
        <v>36</v>
      </c>
      <c r="H50" t="b">
        <v>0</v>
      </c>
      <c r="I50" s="1">
        <v>45985</v>
      </c>
    </row>
    <row r="51" spans="1:9" x14ac:dyDescent="0.25">
      <c r="A51">
        <v>48</v>
      </c>
      <c r="B51" t="s">
        <v>101</v>
      </c>
      <c r="C51">
        <v>22</v>
      </c>
      <c r="D51" t="s">
        <v>199</v>
      </c>
      <c r="E51" t="s">
        <v>102</v>
      </c>
      <c r="F51">
        <v>12.75</v>
      </c>
      <c r="G51">
        <v>15</v>
      </c>
      <c r="H51" t="b">
        <v>0</v>
      </c>
      <c r="I51" s="1">
        <v>45737</v>
      </c>
    </row>
    <row r="52" spans="1:9" x14ac:dyDescent="0.25">
      <c r="A52">
        <v>49</v>
      </c>
      <c r="B52" t="s">
        <v>103</v>
      </c>
      <c r="C52">
        <v>23</v>
      </c>
      <c r="D52" t="s">
        <v>199</v>
      </c>
      <c r="E52" t="s">
        <v>104</v>
      </c>
      <c r="F52">
        <v>20</v>
      </c>
      <c r="G52">
        <v>10</v>
      </c>
      <c r="H52" t="b">
        <v>0</v>
      </c>
      <c r="I52" s="1">
        <v>45768</v>
      </c>
    </row>
    <row r="53" spans="1:9" x14ac:dyDescent="0.25">
      <c r="A53">
        <v>50</v>
      </c>
      <c r="B53" t="s">
        <v>105</v>
      </c>
      <c r="C53">
        <v>23</v>
      </c>
      <c r="D53" t="s">
        <v>199</v>
      </c>
      <c r="E53" t="s">
        <v>106</v>
      </c>
      <c r="F53">
        <v>16.25</v>
      </c>
      <c r="G53">
        <v>65</v>
      </c>
      <c r="H53" t="b">
        <v>0</v>
      </c>
      <c r="I53" s="1">
        <v>45796</v>
      </c>
    </row>
    <row r="54" spans="1:9" x14ac:dyDescent="0.25">
      <c r="A54">
        <v>51</v>
      </c>
      <c r="B54" t="s">
        <v>107</v>
      </c>
      <c r="C54">
        <v>24</v>
      </c>
      <c r="D54" t="s">
        <v>204</v>
      </c>
      <c r="E54" t="s">
        <v>108</v>
      </c>
      <c r="F54">
        <v>53</v>
      </c>
      <c r="G54">
        <v>20</v>
      </c>
      <c r="H54" t="b">
        <v>0</v>
      </c>
      <c r="I54" s="1">
        <v>45968</v>
      </c>
    </row>
    <row r="55" spans="1:9" x14ac:dyDescent="0.25">
      <c r="A55">
        <v>52</v>
      </c>
      <c r="B55" t="s">
        <v>109</v>
      </c>
      <c r="C55">
        <v>24</v>
      </c>
      <c r="D55" t="s">
        <v>201</v>
      </c>
      <c r="E55" t="s">
        <v>110</v>
      </c>
      <c r="F55">
        <v>7</v>
      </c>
      <c r="G55">
        <v>38</v>
      </c>
      <c r="H55" t="b">
        <v>0</v>
      </c>
      <c r="I55" s="1">
        <v>45730</v>
      </c>
    </row>
    <row r="56" spans="1:9" x14ac:dyDescent="0.25">
      <c r="A56">
        <v>53</v>
      </c>
      <c r="B56" t="s">
        <v>111</v>
      </c>
      <c r="C56">
        <v>24</v>
      </c>
      <c r="D56" t="s">
        <v>202</v>
      </c>
      <c r="E56" t="s">
        <v>112</v>
      </c>
      <c r="F56">
        <v>32.799999999999997</v>
      </c>
      <c r="G56">
        <v>0</v>
      </c>
      <c r="H56" t="b">
        <v>1</v>
      </c>
      <c r="I56" s="1">
        <v>45924</v>
      </c>
    </row>
    <row r="57" spans="1:9" x14ac:dyDescent="0.25">
      <c r="A57">
        <v>54</v>
      </c>
      <c r="B57" t="s">
        <v>113</v>
      </c>
      <c r="C57">
        <v>25</v>
      </c>
      <c r="D57" t="s">
        <v>202</v>
      </c>
      <c r="E57" t="s">
        <v>114</v>
      </c>
      <c r="F57">
        <v>7.45</v>
      </c>
      <c r="G57">
        <v>21</v>
      </c>
      <c r="H57" t="b">
        <v>0</v>
      </c>
      <c r="I57" s="1">
        <v>45987</v>
      </c>
    </row>
    <row r="58" spans="1:9" x14ac:dyDescent="0.25">
      <c r="A58">
        <v>55</v>
      </c>
      <c r="B58" t="s">
        <v>115</v>
      </c>
      <c r="C58">
        <v>25</v>
      </c>
      <c r="D58" t="s">
        <v>202</v>
      </c>
      <c r="E58" t="s">
        <v>116</v>
      </c>
      <c r="F58">
        <v>24</v>
      </c>
      <c r="G58">
        <v>115</v>
      </c>
      <c r="H58" t="b">
        <v>0</v>
      </c>
      <c r="I58" s="1">
        <v>45764</v>
      </c>
    </row>
    <row r="59" spans="1:9" x14ac:dyDescent="0.25">
      <c r="A59">
        <v>56</v>
      </c>
      <c r="B59" t="s">
        <v>117</v>
      </c>
      <c r="C59">
        <v>26</v>
      </c>
      <c r="D59" t="s">
        <v>201</v>
      </c>
      <c r="E59" t="s">
        <v>118</v>
      </c>
      <c r="F59">
        <v>38</v>
      </c>
      <c r="G59">
        <v>21</v>
      </c>
      <c r="H59" t="b">
        <v>0</v>
      </c>
      <c r="I59" s="1">
        <v>45899</v>
      </c>
    </row>
    <row r="60" spans="1:9" x14ac:dyDescent="0.25">
      <c r="A60">
        <v>57</v>
      </c>
      <c r="B60" t="s">
        <v>119</v>
      </c>
      <c r="C60">
        <v>26</v>
      </c>
      <c r="D60" t="s">
        <v>201</v>
      </c>
      <c r="E60" t="s">
        <v>118</v>
      </c>
      <c r="F60">
        <v>19.5</v>
      </c>
      <c r="G60">
        <v>36</v>
      </c>
      <c r="H60" t="b">
        <v>0</v>
      </c>
      <c r="I60" s="1">
        <v>45947</v>
      </c>
    </row>
    <row r="61" spans="1:9" x14ac:dyDescent="0.25">
      <c r="A61">
        <v>58</v>
      </c>
      <c r="B61" t="s">
        <v>120</v>
      </c>
      <c r="C61">
        <v>27</v>
      </c>
      <c r="D61" t="s">
        <v>203</v>
      </c>
      <c r="E61" t="s">
        <v>121</v>
      </c>
      <c r="F61">
        <v>13.25</v>
      </c>
      <c r="G61">
        <v>62</v>
      </c>
      <c r="H61" t="b">
        <v>0</v>
      </c>
      <c r="I61" s="1">
        <v>45793</v>
      </c>
    </row>
    <row r="62" spans="1:9" x14ac:dyDescent="0.25">
      <c r="A62">
        <v>59</v>
      </c>
      <c r="B62" t="s">
        <v>122</v>
      </c>
      <c r="C62">
        <v>28</v>
      </c>
      <c r="D62" t="s">
        <v>200</v>
      </c>
      <c r="E62" t="s">
        <v>123</v>
      </c>
      <c r="F62">
        <v>55</v>
      </c>
      <c r="G62">
        <v>79</v>
      </c>
      <c r="H62" t="b">
        <v>0</v>
      </c>
      <c r="I62" s="1">
        <v>45975</v>
      </c>
    </row>
    <row r="63" spans="1:9" x14ac:dyDescent="0.25">
      <c r="A63">
        <v>60</v>
      </c>
      <c r="B63" t="s">
        <v>124</v>
      </c>
      <c r="C63">
        <v>28</v>
      </c>
      <c r="D63" t="s">
        <v>200</v>
      </c>
      <c r="E63" t="s">
        <v>125</v>
      </c>
      <c r="F63">
        <v>34</v>
      </c>
      <c r="G63">
        <v>19</v>
      </c>
      <c r="H63" t="b">
        <v>0</v>
      </c>
      <c r="I63" s="1">
        <v>45771</v>
      </c>
    </row>
    <row r="64" spans="1:9" x14ac:dyDescent="0.25">
      <c r="A64">
        <v>61</v>
      </c>
      <c r="B64" t="s">
        <v>126</v>
      </c>
      <c r="C64">
        <v>29</v>
      </c>
      <c r="D64" t="s">
        <v>198</v>
      </c>
      <c r="E64" t="s">
        <v>127</v>
      </c>
      <c r="F64">
        <v>28.5</v>
      </c>
      <c r="G64">
        <v>113</v>
      </c>
      <c r="H64" t="b">
        <v>0</v>
      </c>
      <c r="I64" s="1">
        <v>45967</v>
      </c>
    </row>
    <row r="65" spans="1:9" x14ac:dyDescent="0.25">
      <c r="A65">
        <v>62</v>
      </c>
      <c r="B65" t="s">
        <v>128</v>
      </c>
      <c r="C65">
        <v>29</v>
      </c>
      <c r="D65" t="s">
        <v>199</v>
      </c>
      <c r="E65" t="s">
        <v>129</v>
      </c>
      <c r="F65">
        <v>49.3</v>
      </c>
      <c r="G65">
        <v>17</v>
      </c>
      <c r="H65" t="b">
        <v>0</v>
      </c>
      <c r="I65" s="1">
        <v>45846</v>
      </c>
    </row>
    <row r="66" spans="1:9" x14ac:dyDescent="0.25">
      <c r="A66">
        <v>63</v>
      </c>
      <c r="B66" t="s">
        <v>130</v>
      </c>
      <c r="C66">
        <v>7</v>
      </c>
      <c r="D66" t="s">
        <v>198</v>
      </c>
      <c r="E66" t="s">
        <v>131</v>
      </c>
      <c r="F66">
        <v>43.9</v>
      </c>
      <c r="G66">
        <v>24</v>
      </c>
      <c r="H66" t="b">
        <v>0</v>
      </c>
      <c r="I66" s="1">
        <v>45824</v>
      </c>
    </row>
    <row r="67" spans="1:9" x14ac:dyDescent="0.25">
      <c r="A67">
        <v>64</v>
      </c>
      <c r="B67" t="s">
        <v>132</v>
      </c>
      <c r="C67">
        <v>12</v>
      </c>
      <c r="D67" t="s">
        <v>201</v>
      </c>
      <c r="E67" t="s">
        <v>133</v>
      </c>
      <c r="F67">
        <v>33.25</v>
      </c>
      <c r="G67">
        <v>22</v>
      </c>
      <c r="H67" t="b">
        <v>0</v>
      </c>
      <c r="I67" s="1">
        <v>45944</v>
      </c>
    </row>
    <row r="68" spans="1:9" x14ac:dyDescent="0.25">
      <c r="A68">
        <v>65</v>
      </c>
      <c r="B68" t="s">
        <v>134</v>
      </c>
      <c r="C68">
        <v>2</v>
      </c>
      <c r="D68" t="s">
        <v>198</v>
      </c>
      <c r="E68" t="s">
        <v>135</v>
      </c>
      <c r="F68">
        <v>21.05</v>
      </c>
      <c r="G68">
        <v>76</v>
      </c>
      <c r="H68" t="b">
        <v>0</v>
      </c>
      <c r="I68" s="1">
        <v>45715</v>
      </c>
    </row>
    <row r="69" spans="1:9" x14ac:dyDescent="0.25">
      <c r="A69">
        <v>66</v>
      </c>
      <c r="B69" t="s">
        <v>136</v>
      </c>
      <c r="C69">
        <v>2</v>
      </c>
      <c r="D69" t="s">
        <v>198</v>
      </c>
      <c r="E69" t="s">
        <v>137</v>
      </c>
      <c r="F69">
        <v>17</v>
      </c>
      <c r="G69">
        <v>4</v>
      </c>
      <c r="H69" t="b">
        <v>0</v>
      </c>
      <c r="I69" s="1">
        <v>46008</v>
      </c>
    </row>
    <row r="70" spans="1:9" x14ac:dyDescent="0.25">
      <c r="A70">
        <v>67</v>
      </c>
      <c r="B70" t="s">
        <v>138</v>
      </c>
      <c r="C70">
        <v>16</v>
      </c>
      <c r="D70" t="s">
        <v>197</v>
      </c>
      <c r="E70" t="s">
        <v>12</v>
      </c>
      <c r="F70">
        <v>14</v>
      </c>
      <c r="G70">
        <v>52</v>
      </c>
      <c r="H70" t="b">
        <v>0</v>
      </c>
      <c r="I70" s="1">
        <v>45715</v>
      </c>
    </row>
    <row r="71" spans="1:9" x14ac:dyDescent="0.25">
      <c r="A71">
        <v>68</v>
      </c>
      <c r="B71" t="s">
        <v>139</v>
      </c>
      <c r="C71">
        <v>8</v>
      </c>
      <c r="D71" t="s">
        <v>199</v>
      </c>
      <c r="E71" t="s">
        <v>140</v>
      </c>
      <c r="F71">
        <v>12.5</v>
      </c>
      <c r="G71">
        <v>6</v>
      </c>
      <c r="H71" t="b">
        <v>0</v>
      </c>
      <c r="I71" s="1">
        <v>45695</v>
      </c>
    </row>
    <row r="72" spans="1:9" x14ac:dyDescent="0.25">
      <c r="A72">
        <v>69</v>
      </c>
      <c r="B72" t="s">
        <v>141</v>
      </c>
      <c r="C72">
        <v>15</v>
      </c>
      <c r="D72" t="s">
        <v>200</v>
      </c>
      <c r="E72" t="s">
        <v>142</v>
      </c>
      <c r="F72">
        <v>36</v>
      </c>
      <c r="G72">
        <v>26</v>
      </c>
      <c r="H72" t="b">
        <v>0</v>
      </c>
      <c r="I72" s="1">
        <v>45827</v>
      </c>
    </row>
    <row r="73" spans="1:9" x14ac:dyDescent="0.25">
      <c r="A73">
        <v>70</v>
      </c>
      <c r="B73" t="s">
        <v>143</v>
      </c>
      <c r="C73">
        <v>7</v>
      </c>
      <c r="D73" t="s">
        <v>197</v>
      </c>
      <c r="E73" t="s">
        <v>144</v>
      </c>
      <c r="F73">
        <v>15</v>
      </c>
      <c r="G73">
        <v>15</v>
      </c>
      <c r="H73" t="b">
        <v>0</v>
      </c>
      <c r="I73" s="1">
        <v>45827</v>
      </c>
    </row>
    <row r="74" spans="1:9" x14ac:dyDescent="0.25">
      <c r="A74">
        <v>71</v>
      </c>
      <c r="B74" t="s">
        <v>145</v>
      </c>
      <c r="C74">
        <v>15</v>
      </c>
      <c r="D74" t="s">
        <v>200</v>
      </c>
      <c r="E74" t="s">
        <v>32</v>
      </c>
      <c r="F74">
        <v>21.5</v>
      </c>
      <c r="G74">
        <v>26</v>
      </c>
      <c r="H74" t="b">
        <v>0</v>
      </c>
      <c r="I74" s="1">
        <v>46004</v>
      </c>
    </row>
    <row r="75" spans="1:9" x14ac:dyDescent="0.25">
      <c r="A75">
        <v>72</v>
      </c>
      <c r="B75" t="s">
        <v>146</v>
      </c>
      <c r="C75">
        <v>14</v>
      </c>
      <c r="D75" t="s">
        <v>200</v>
      </c>
      <c r="E75" t="s">
        <v>72</v>
      </c>
      <c r="F75">
        <v>34.799999999999997</v>
      </c>
      <c r="G75">
        <v>14</v>
      </c>
      <c r="H75" t="b">
        <v>0</v>
      </c>
      <c r="I75" s="1">
        <v>45717</v>
      </c>
    </row>
    <row r="76" spans="1:9" x14ac:dyDescent="0.25">
      <c r="A76">
        <v>73</v>
      </c>
      <c r="B76" t="s">
        <v>147</v>
      </c>
      <c r="C76">
        <v>17</v>
      </c>
      <c r="D76" t="s">
        <v>203</v>
      </c>
      <c r="E76" t="s">
        <v>148</v>
      </c>
      <c r="F76">
        <v>15</v>
      </c>
      <c r="G76">
        <v>101</v>
      </c>
      <c r="H76" t="b">
        <v>0</v>
      </c>
      <c r="I76" s="1">
        <v>45683</v>
      </c>
    </row>
    <row r="77" spans="1:9" x14ac:dyDescent="0.25">
      <c r="A77">
        <v>74</v>
      </c>
      <c r="B77" t="s">
        <v>149</v>
      </c>
      <c r="C77">
        <v>4</v>
      </c>
      <c r="D77" t="s">
        <v>204</v>
      </c>
      <c r="E77" t="s">
        <v>123</v>
      </c>
      <c r="F77">
        <v>10</v>
      </c>
      <c r="G77">
        <v>4</v>
      </c>
      <c r="H77" t="b">
        <v>0</v>
      </c>
      <c r="I77" s="1">
        <v>45904</v>
      </c>
    </row>
    <row r="78" spans="1:9" x14ac:dyDescent="0.25">
      <c r="A78">
        <v>75</v>
      </c>
      <c r="B78" t="s">
        <v>150</v>
      </c>
      <c r="C78">
        <v>12</v>
      </c>
      <c r="D78" t="s">
        <v>197</v>
      </c>
      <c r="E78" t="s">
        <v>151</v>
      </c>
      <c r="F78">
        <v>7.75</v>
      </c>
      <c r="G78">
        <v>125</v>
      </c>
      <c r="H78" t="b">
        <v>0</v>
      </c>
      <c r="I78" s="1">
        <v>45896</v>
      </c>
    </row>
    <row r="79" spans="1:9" x14ac:dyDescent="0.25">
      <c r="A79">
        <v>76</v>
      </c>
      <c r="B79" t="s">
        <v>152</v>
      </c>
      <c r="C79">
        <v>23</v>
      </c>
      <c r="D79" t="s">
        <v>197</v>
      </c>
      <c r="E79" t="s">
        <v>153</v>
      </c>
      <c r="F79">
        <v>18</v>
      </c>
      <c r="G79">
        <v>57</v>
      </c>
      <c r="H79" t="b">
        <v>0</v>
      </c>
      <c r="I79" s="1">
        <v>45704</v>
      </c>
    </row>
    <row r="80" spans="1:9" x14ac:dyDescent="0.25">
      <c r="A80">
        <v>77</v>
      </c>
      <c r="B80" t="s">
        <v>154</v>
      </c>
      <c r="C80">
        <v>12</v>
      </c>
      <c r="D80" t="s">
        <v>198</v>
      </c>
      <c r="E80" t="s">
        <v>155</v>
      </c>
      <c r="F80">
        <v>13</v>
      </c>
      <c r="G80">
        <v>32</v>
      </c>
      <c r="H80" t="b">
        <v>0</v>
      </c>
      <c r="I80" s="1">
        <v>45883</v>
      </c>
    </row>
  </sheetData>
  <conditionalFormatting sqref="G4:G80">
    <cfRule type="cellIs" dxfId="0" priority="1" operator="lessThan">
      <formula>5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AE59-0524-4885-8D4E-9C486B7FADF1}">
  <dimension ref="A1:W36"/>
  <sheetViews>
    <sheetView workbookViewId="0">
      <selection sqref="A1:XFD2"/>
    </sheetView>
  </sheetViews>
  <sheetFormatPr baseColWidth="10" defaultColWidth="11.42578125" defaultRowHeight="15" x14ac:dyDescent="0.25"/>
  <cols>
    <col min="2" max="2" width="13.85546875" customWidth="1"/>
    <col min="3" max="3" width="32.7109375" customWidth="1"/>
    <col min="4" max="4" width="12.28515625" customWidth="1"/>
    <col min="7" max="7" width="28.7109375" customWidth="1"/>
    <col min="8" max="8" width="16.7109375" customWidth="1"/>
    <col min="9" max="9" width="12.28515625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t="s">
        <v>191</v>
      </c>
    </row>
    <row r="4" spans="1:23" ht="15.75" thickBot="1" x14ac:dyDescent="0.3">
      <c r="A4" t="s">
        <v>3</v>
      </c>
    </row>
    <row r="5" spans="1:23" ht="19.5" thickBot="1" x14ac:dyDescent="0.35">
      <c r="A5" t="s">
        <v>197</v>
      </c>
      <c r="C5" s="17" t="s">
        <v>193</v>
      </c>
      <c r="D5" s="17"/>
      <c r="E5" s="25">
        <v>2</v>
      </c>
      <c r="F5" s="18"/>
      <c r="G5" s="19" t="s">
        <v>193</v>
      </c>
      <c r="H5" s="19"/>
      <c r="I5" s="26">
        <v>4</v>
      </c>
    </row>
    <row r="6" spans="1:23" x14ac:dyDescent="0.25">
      <c r="A6" t="s">
        <v>198</v>
      </c>
    </row>
    <row r="7" spans="1:23" x14ac:dyDescent="0.25">
      <c r="A7" t="s">
        <v>204</v>
      </c>
    </row>
    <row r="8" spans="1:23" x14ac:dyDescent="0.25">
      <c r="A8" t="s">
        <v>202</v>
      </c>
    </row>
    <row r="9" spans="1:23" x14ac:dyDescent="0.25">
      <c r="A9" t="s">
        <v>203</v>
      </c>
    </row>
    <row r="10" spans="1:23" x14ac:dyDescent="0.25">
      <c r="A10" t="s">
        <v>200</v>
      </c>
    </row>
    <row r="11" spans="1:23" x14ac:dyDescent="0.25">
      <c r="A11" t="s">
        <v>199</v>
      </c>
    </row>
    <row r="12" spans="1:23" x14ac:dyDescent="0.25">
      <c r="A12" t="s">
        <v>201</v>
      </c>
    </row>
    <row r="27" spans="1:5" ht="15.75" thickBot="1" x14ac:dyDescent="0.3">
      <c r="A27" t="s">
        <v>190</v>
      </c>
    </row>
    <row r="28" spans="1:5" ht="19.5" thickBot="1" x14ac:dyDescent="0.35">
      <c r="A28" s="21" t="s">
        <v>3</v>
      </c>
      <c r="C28" s="20" t="s">
        <v>192</v>
      </c>
      <c r="D28" s="20"/>
      <c r="E28" s="27"/>
    </row>
    <row r="29" spans="1:5" x14ac:dyDescent="0.25">
      <c r="A29" s="15" t="s">
        <v>197</v>
      </c>
    </row>
    <row r="30" spans="1:5" x14ac:dyDescent="0.25">
      <c r="A30" s="16" t="s">
        <v>198</v>
      </c>
    </row>
    <row r="31" spans="1:5" x14ac:dyDescent="0.25">
      <c r="A31" s="15" t="s">
        <v>204</v>
      </c>
    </row>
    <row r="32" spans="1:5" x14ac:dyDescent="0.25">
      <c r="A32" s="16" t="s">
        <v>202</v>
      </c>
    </row>
    <row r="33" spans="1:1" x14ac:dyDescent="0.25">
      <c r="A33" s="15" t="s">
        <v>203</v>
      </c>
    </row>
    <row r="34" spans="1:1" x14ac:dyDescent="0.25">
      <c r="A34" s="16" t="s">
        <v>200</v>
      </c>
    </row>
    <row r="35" spans="1:1" x14ac:dyDescent="0.25">
      <c r="A35" s="15" t="s">
        <v>199</v>
      </c>
    </row>
    <row r="36" spans="1:1" x14ac:dyDescent="0.25">
      <c r="A36" s="16" t="s">
        <v>201</v>
      </c>
    </row>
  </sheetData>
  <dataValidations count="3">
    <dataValidation type="list" allowBlank="1" showInputMessage="1" showErrorMessage="1" sqref="I5" xr:uid="{12BF0FDC-1720-4909-9D49-0545468997AD}">
      <formula1>Liste_Cat</formula1>
    </dataValidation>
    <dataValidation type="list" allowBlank="1" showInputMessage="1" showErrorMessage="1" sqref="E5" xr:uid="{C01C6EA5-75F2-4243-B2A8-D5F3B0B333A6}">
      <formula1>$A$5:$A$12</formula1>
    </dataValidation>
    <dataValidation type="list" allowBlank="1" showInputMessage="1" showErrorMessage="1" sqref="E28" xr:uid="{184F6B1F-D8E6-4FBE-B598-FA0A597BBC60}">
      <formula1>$A$29:$A$32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0E79-6621-486F-A558-7C0B3CECA927}">
  <dimension ref="A1:W12"/>
  <sheetViews>
    <sheetView tabSelected="1" workbookViewId="0">
      <selection activeCell="B4" sqref="B4"/>
    </sheetView>
  </sheetViews>
  <sheetFormatPr baseColWidth="10" defaultColWidth="11.42578125" defaultRowHeight="15" x14ac:dyDescent="0.25"/>
  <cols>
    <col min="1" max="1" width="20.42578125" bestFit="1" customWidth="1"/>
    <col min="2" max="2" width="20.7109375" bestFit="1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s="22" t="s">
        <v>195</v>
      </c>
      <c r="B3" t="s">
        <v>194</v>
      </c>
    </row>
    <row r="4" spans="1:23" x14ac:dyDescent="0.25">
      <c r="A4" s="23" t="s">
        <v>197</v>
      </c>
      <c r="B4">
        <v>559</v>
      </c>
    </row>
    <row r="5" spans="1:23" x14ac:dyDescent="0.25">
      <c r="A5" s="23" t="s">
        <v>202</v>
      </c>
      <c r="B5">
        <v>165</v>
      </c>
    </row>
    <row r="6" spans="1:23" x14ac:dyDescent="0.25">
      <c r="A6" s="23" t="s">
        <v>199</v>
      </c>
      <c r="B6">
        <v>386</v>
      </c>
    </row>
    <row r="7" spans="1:23" x14ac:dyDescent="0.25">
      <c r="A7" s="23" t="s">
        <v>204</v>
      </c>
      <c r="B7">
        <v>100</v>
      </c>
    </row>
    <row r="8" spans="1:23" x14ac:dyDescent="0.25">
      <c r="A8" s="23" t="s">
        <v>198</v>
      </c>
      <c r="B8">
        <v>507</v>
      </c>
    </row>
    <row r="9" spans="1:23" x14ac:dyDescent="0.25">
      <c r="A9" s="23" t="s">
        <v>203</v>
      </c>
      <c r="B9">
        <v>701</v>
      </c>
    </row>
    <row r="10" spans="1:23" x14ac:dyDescent="0.25">
      <c r="A10" s="23" t="s">
        <v>200</v>
      </c>
      <c r="B10">
        <v>393</v>
      </c>
    </row>
    <row r="11" spans="1:23" x14ac:dyDescent="0.25">
      <c r="A11" s="23" t="s">
        <v>201</v>
      </c>
      <c r="B11">
        <v>308</v>
      </c>
    </row>
    <row r="12" spans="1:23" x14ac:dyDescent="0.25">
      <c r="A12" s="23" t="s">
        <v>196</v>
      </c>
      <c r="B12">
        <v>3119</v>
      </c>
    </row>
  </sheetData>
  <conditionalFormatting pivot="1" sqref="B4:B11">
    <cfRule type="aboveAverage" dxfId="1" priority="1"/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7910-0893-4F3E-9CE9-8C4251CE0CB9}">
  <dimension ref="A1:W80"/>
  <sheetViews>
    <sheetView workbookViewId="0">
      <selection activeCell="L4" sqref="L4"/>
    </sheetView>
  </sheetViews>
  <sheetFormatPr baseColWidth="10" defaultColWidth="9.140625" defaultRowHeight="15" x14ac:dyDescent="0.25"/>
  <cols>
    <col min="1" max="1" width="9.85546875" customWidth="1"/>
    <col min="2" max="2" width="31.85546875" bestFit="1" customWidth="1"/>
    <col min="3" max="3" width="15.7109375" bestFit="1" customWidth="1"/>
    <col min="4" max="4" width="11.28515625" bestFit="1" customWidth="1"/>
    <col min="5" max="5" width="19" bestFit="1" customWidth="1"/>
    <col min="6" max="6" width="7" bestFit="1" customWidth="1"/>
    <col min="7" max="7" width="4" bestFit="1" customWidth="1"/>
    <col min="8" max="8" width="6.140625" bestFit="1" customWidth="1"/>
    <col min="9" max="9" width="10.140625" bestFit="1" customWidth="1"/>
    <col min="12" max="13" width="14.28515625" customWidth="1"/>
    <col min="20" max="20" width="10.5703125" bestFit="1" customWidth="1"/>
    <col min="30" max="30" width="10.5703125" bestFit="1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  <c r="L3" s="32" t="s">
        <v>205</v>
      </c>
      <c r="M3" s="33"/>
      <c r="N3" s="33"/>
      <c r="O3" s="33"/>
      <c r="P3" s="33"/>
      <c r="Q3" s="33"/>
      <c r="R3" s="33"/>
      <c r="S3" s="33"/>
      <c r="T3" s="34"/>
    </row>
    <row r="4" spans="1:23" x14ac:dyDescent="0.25">
      <c r="A4">
        <v>1</v>
      </c>
      <c r="B4" t="s">
        <v>9</v>
      </c>
      <c r="C4">
        <v>1</v>
      </c>
      <c r="D4" t="s">
        <v>197</v>
      </c>
      <c r="E4" t="s">
        <v>10</v>
      </c>
      <c r="F4">
        <v>18</v>
      </c>
      <c r="G4">
        <v>39</v>
      </c>
      <c r="H4" t="b">
        <v>0</v>
      </c>
      <c r="I4" s="1">
        <v>45953</v>
      </c>
      <c r="L4" s="35" t="s">
        <v>2</v>
      </c>
      <c r="M4" s="24" t="s">
        <v>3</v>
      </c>
      <c r="T4" s="36"/>
    </row>
    <row r="5" spans="1:23" x14ac:dyDescent="0.25">
      <c r="A5">
        <v>2</v>
      </c>
      <c r="B5" t="s">
        <v>11</v>
      </c>
      <c r="C5">
        <v>1</v>
      </c>
      <c r="D5" t="s">
        <v>197</v>
      </c>
      <c r="E5" t="s">
        <v>12</v>
      </c>
      <c r="F5">
        <v>19</v>
      </c>
      <c r="G5">
        <v>17</v>
      </c>
      <c r="H5" t="b">
        <v>0</v>
      </c>
      <c r="I5" s="1">
        <v>46007</v>
      </c>
      <c r="L5" s="37">
        <v>2</v>
      </c>
      <c r="M5" t="s">
        <v>198</v>
      </c>
      <c r="T5" s="36"/>
    </row>
    <row r="6" spans="1:23" x14ac:dyDescent="0.25">
      <c r="A6">
        <v>3</v>
      </c>
      <c r="B6" t="s">
        <v>13</v>
      </c>
      <c r="C6">
        <v>1</v>
      </c>
      <c r="D6" t="s">
        <v>198</v>
      </c>
      <c r="E6" t="s">
        <v>14</v>
      </c>
      <c r="F6">
        <v>10</v>
      </c>
      <c r="G6">
        <v>13</v>
      </c>
      <c r="H6" t="b">
        <v>0</v>
      </c>
      <c r="I6" s="1">
        <v>45752</v>
      </c>
      <c r="L6" s="37"/>
      <c r="T6" s="36"/>
    </row>
    <row r="7" spans="1:23" x14ac:dyDescent="0.25">
      <c r="A7">
        <v>4</v>
      </c>
      <c r="B7" t="s">
        <v>15</v>
      </c>
      <c r="C7">
        <v>2</v>
      </c>
      <c r="D7" t="s">
        <v>198</v>
      </c>
      <c r="E7" t="s">
        <v>16</v>
      </c>
      <c r="F7">
        <v>22</v>
      </c>
      <c r="G7">
        <v>53</v>
      </c>
      <c r="H7" t="b">
        <v>0</v>
      </c>
      <c r="I7" s="1">
        <v>45659</v>
      </c>
      <c r="L7" s="37" t="s">
        <v>0</v>
      </c>
      <c r="M7" t="s">
        <v>1</v>
      </c>
      <c r="N7" t="s">
        <v>2</v>
      </c>
      <c r="O7" t="s">
        <v>3</v>
      </c>
      <c r="P7" t="s">
        <v>4</v>
      </c>
      <c r="Q7" t="s">
        <v>5</v>
      </c>
      <c r="R7" t="s">
        <v>6</v>
      </c>
      <c r="S7" t="s">
        <v>7</v>
      </c>
      <c r="T7" s="38" t="s">
        <v>8</v>
      </c>
    </row>
    <row r="8" spans="1:23" x14ac:dyDescent="0.25">
      <c r="A8">
        <v>5</v>
      </c>
      <c r="B8" t="s">
        <v>17</v>
      </c>
      <c r="C8">
        <v>2</v>
      </c>
      <c r="D8" t="s">
        <v>198</v>
      </c>
      <c r="E8" t="s">
        <v>18</v>
      </c>
      <c r="F8">
        <v>21.35</v>
      </c>
      <c r="G8">
        <v>0</v>
      </c>
      <c r="H8" t="b">
        <v>1</v>
      </c>
      <c r="I8" s="1">
        <v>46002</v>
      </c>
      <c r="L8" s="37">
        <v>4</v>
      </c>
      <c r="M8" t="s">
        <v>15</v>
      </c>
      <c r="N8">
        <v>2</v>
      </c>
      <c r="O8" t="s">
        <v>198</v>
      </c>
      <c r="P8" t="s">
        <v>16</v>
      </c>
      <c r="Q8">
        <v>22</v>
      </c>
      <c r="R8">
        <v>53</v>
      </c>
      <c r="S8" t="b">
        <v>0</v>
      </c>
      <c r="T8" s="38">
        <v>45659</v>
      </c>
    </row>
    <row r="9" spans="1:23" x14ac:dyDescent="0.25">
      <c r="A9">
        <v>6</v>
      </c>
      <c r="B9" t="s">
        <v>19</v>
      </c>
      <c r="C9">
        <v>3</v>
      </c>
      <c r="D9" t="s">
        <v>198</v>
      </c>
      <c r="E9" t="s">
        <v>20</v>
      </c>
      <c r="F9">
        <v>25</v>
      </c>
      <c r="G9">
        <v>120</v>
      </c>
      <c r="H9" t="b">
        <v>0</v>
      </c>
      <c r="I9" s="1">
        <v>45869</v>
      </c>
      <c r="L9" s="37">
        <v>5</v>
      </c>
      <c r="M9" t="s">
        <v>17</v>
      </c>
      <c r="N9">
        <v>2</v>
      </c>
      <c r="O9" t="s">
        <v>198</v>
      </c>
      <c r="P9" t="s">
        <v>18</v>
      </c>
      <c r="Q9">
        <v>21.35</v>
      </c>
      <c r="R9">
        <v>0</v>
      </c>
      <c r="S9" t="b">
        <v>1</v>
      </c>
      <c r="T9" s="38">
        <v>46002</v>
      </c>
    </row>
    <row r="10" spans="1:23" x14ac:dyDescent="0.25">
      <c r="A10">
        <v>7</v>
      </c>
      <c r="B10" t="s">
        <v>21</v>
      </c>
      <c r="C10">
        <v>3</v>
      </c>
      <c r="D10" t="s">
        <v>204</v>
      </c>
      <c r="E10" t="s">
        <v>22</v>
      </c>
      <c r="F10">
        <v>30</v>
      </c>
      <c r="G10">
        <v>15</v>
      </c>
      <c r="H10" t="b">
        <v>0</v>
      </c>
      <c r="I10" s="1">
        <v>45995</v>
      </c>
      <c r="L10" s="37">
        <v>65</v>
      </c>
      <c r="M10" t="s">
        <v>134</v>
      </c>
      <c r="N10">
        <v>2</v>
      </c>
      <c r="O10" t="s">
        <v>198</v>
      </c>
      <c r="P10" t="s">
        <v>135</v>
      </c>
      <c r="Q10">
        <v>21.05</v>
      </c>
      <c r="R10">
        <v>76</v>
      </c>
      <c r="S10" t="b">
        <v>0</v>
      </c>
      <c r="T10" s="38">
        <v>45715</v>
      </c>
    </row>
    <row r="11" spans="1:23" ht="15.75" thickBot="1" x14ac:dyDescent="0.3">
      <c r="A11">
        <v>8</v>
      </c>
      <c r="B11" t="s">
        <v>23</v>
      </c>
      <c r="C11">
        <v>3</v>
      </c>
      <c r="D11" t="s">
        <v>198</v>
      </c>
      <c r="E11" t="s">
        <v>24</v>
      </c>
      <c r="F11">
        <v>40</v>
      </c>
      <c r="G11">
        <v>6</v>
      </c>
      <c r="H11" t="b">
        <v>0</v>
      </c>
      <c r="I11" s="1">
        <v>45857</v>
      </c>
      <c r="L11" s="39">
        <v>66</v>
      </c>
      <c r="M11" s="40" t="s">
        <v>136</v>
      </c>
      <c r="N11" s="40">
        <v>2</v>
      </c>
      <c r="O11" s="40" t="s">
        <v>198</v>
      </c>
      <c r="P11" s="40" t="s">
        <v>137</v>
      </c>
      <c r="Q11" s="40">
        <v>17</v>
      </c>
      <c r="R11" s="40">
        <v>4</v>
      </c>
      <c r="S11" s="40" t="b">
        <v>0</v>
      </c>
      <c r="T11" s="41">
        <v>46008</v>
      </c>
    </row>
    <row r="12" spans="1:23" x14ac:dyDescent="0.25">
      <c r="A12">
        <v>9</v>
      </c>
      <c r="B12" t="s">
        <v>25</v>
      </c>
      <c r="C12">
        <v>4</v>
      </c>
      <c r="D12" t="s">
        <v>202</v>
      </c>
      <c r="E12" t="s">
        <v>26</v>
      </c>
      <c r="F12">
        <v>97</v>
      </c>
      <c r="G12">
        <v>29</v>
      </c>
      <c r="H12" t="b">
        <v>1</v>
      </c>
      <c r="I12" s="1">
        <v>45663</v>
      </c>
    </row>
    <row r="13" spans="1:23" x14ac:dyDescent="0.25">
      <c r="A13">
        <v>10</v>
      </c>
      <c r="B13" t="s">
        <v>27</v>
      </c>
      <c r="C13">
        <v>4</v>
      </c>
      <c r="D13" t="s">
        <v>203</v>
      </c>
      <c r="E13" t="s">
        <v>28</v>
      </c>
      <c r="F13">
        <v>31</v>
      </c>
      <c r="G13">
        <v>31</v>
      </c>
      <c r="H13" t="b">
        <v>0</v>
      </c>
      <c r="I13" s="1">
        <v>45757</v>
      </c>
    </row>
    <row r="14" spans="1:23" x14ac:dyDescent="0.25">
      <c r="A14">
        <v>11</v>
      </c>
      <c r="B14" t="s">
        <v>29</v>
      </c>
      <c r="C14">
        <v>5</v>
      </c>
      <c r="D14" t="s">
        <v>200</v>
      </c>
      <c r="E14" t="s">
        <v>30</v>
      </c>
      <c r="F14">
        <v>21</v>
      </c>
      <c r="G14">
        <v>22</v>
      </c>
      <c r="H14" t="b">
        <v>0</v>
      </c>
      <c r="I14" s="1">
        <v>45976</v>
      </c>
    </row>
    <row r="15" spans="1:23" ht="15.75" thickBot="1" x14ac:dyDescent="0.3">
      <c r="A15">
        <v>12</v>
      </c>
      <c r="B15" t="s">
        <v>31</v>
      </c>
      <c r="C15">
        <v>5</v>
      </c>
      <c r="D15" t="s">
        <v>200</v>
      </c>
      <c r="E15" t="s">
        <v>32</v>
      </c>
      <c r="F15">
        <v>38</v>
      </c>
      <c r="G15">
        <v>86</v>
      </c>
      <c r="H15" t="b">
        <v>0</v>
      </c>
      <c r="I15" s="1">
        <v>45894</v>
      </c>
    </row>
    <row r="16" spans="1:23" x14ac:dyDescent="0.25">
      <c r="A16">
        <v>13</v>
      </c>
      <c r="B16" t="s">
        <v>33</v>
      </c>
      <c r="C16">
        <v>6</v>
      </c>
      <c r="D16" t="s">
        <v>203</v>
      </c>
      <c r="E16" t="s">
        <v>34</v>
      </c>
      <c r="F16">
        <v>6</v>
      </c>
      <c r="G16">
        <v>24</v>
      </c>
      <c r="H16" t="b">
        <v>0</v>
      </c>
      <c r="I16" s="1">
        <v>45936</v>
      </c>
      <c r="L16" s="32" t="s">
        <v>210</v>
      </c>
      <c r="M16" s="33"/>
      <c r="N16" s="33"/>
      <c r="O16" s="33"/>
      <c r="P16" s="33"/>
      <c r="Q16" s="33"/>
      <c r="R16" s="33"/>
      <c r="S16" s="33"/>
      <c r="T16" s="34"/>
    </row>
    <row r="17" spans="1:20" x14ac:dyDescent="0.25">
      <c r="A17">
        <v>14</v>
      </c>
      <c r="B17" t="s">
        <v>35</v>
      </c>
      <c r="C17">
        <v>6</v>
      </c>
      <c r="D17" t="s">
        <v>204</v>
      </c>
      <c r="E17" t="s">
        <v>36</v>
      </c>
      <c r="F17">
        <v>23.25</v>
      </c>
      <c r="G17">
        <v>35</v>
      </c>
      <c r="H17" t="b">
        <v>0</v>
      </c>
      <c r="I17" s="1">
        <v>45994</v>
      </c>
      <c r="L17" s="35" t="s">
        <v>2</v>
      </c>
      <c r="M17" s="24" t="s">
        <v>3</v>
      </c>
      <c r="T17" s="36"/>
    </row>
    <row r="18" spans="1:20" x14ac:dyDescent="0.25">
      <c r="A18">
        <v>15</v>
      </c>
      <c r="B18" t="s">
        <v>37</v>
      </c>
      <c r="C18">
        <v>6</v>
      </c>
      <c r="D18" t="s">
        <v>198</v>
      </c>
      <c r="E18" t="s">
        <v>38</v>
      </c>
      <c r="F18">
        <v>15.5</v>
      </c>
      <c r="G18">
        <v>39</v>
      </c>
      <c r="H18" t="b">
        <v>0</v>
      </c>
      <c r="I18" s="1">
        <v>45910</v>
      </c>
      <c r="L18" s="37">
        <v>2</v>
      </c>
      <c r="T18" s="36"/>
    </row>
    <row r="19" spans="1:20" x14ac:dyDescent="0.25">
      <c r="A19">
        <v>16</v>
      </c>
      <c r="B19" t="s">
        <v>39</v>
      </c>
      <c r="C19">
        <v>7</v>
      </c>
      <c r="D19" t="s">
        <v>199</v>
      </c>
      <c r="E19" t="s">
        <v>40</v>
      </c>
      <c r="F19">
        <v>17.45</v>
      </c>
      <c r="G19">
        <v>29</v>
      </c>
      <c r="H19" t="b">
        <v>0</v>
      </c>
      <c r="I19" s="1">
        <v>45722</v>
      </c>
      <c r="L19" s="37"/>
      <c r="M19" t="s">
        <v>198</v>
      </c>
      <c r="T19" s="36"/>
    </row>
    <row r="20" spans="1:20" x14ac:dyDescent="0.25">
      <c r="A20">
        <v>17</v>
      </c>
      <c r="B20" t="s">
        <v>41</v>
      </c>
      <c r="C20">
        <v>7</v>
      </c>
      <c r="D20" t="s">
        <v>202</v>
      </c>
      <c r="E20" t="s">
        <v>42</v>
      </c>
      <c r="F20">
        <v>39</v>
      </c>
      <c r="G20">
        <v>0</v>
      </c>
      <c r="H20" t="b">
        <v>1</v>
      </c>
      <c r="I20" s="1">
        <v>45884</v>
      </c>
      <c r="L20" s="37"/>
      <c r="T20" s="36"/>
    </row>
    <row r="21" spans="1:20" x14ac:dyDescent="0.25">
      <c r="A21">
        <v>18</v>
      </c>
      <c r="B21" t="s">
        <v>43</v>
      </c>
      <c r="C21">
        <v>7</v>
      </c>
      <c r="D21" t="s">
        <v>203</v>
      </c>
      <c r="E21" t="s">
        <v>44</v>
      </c>
      <c r="F21">
        <v>62.5</v>
      </c>
      <c r="G21">
        <v>42</v>
      </c>
      <c r="H21" t="b">
        <v>0</v>
      </c>
      <c r="I21" s="1">
        <v>45679</v>
      </c>
      <c r="L21" s="37" t="s">
        <v>0</v>
      </c>
      <c r="M21" t="s">
        <v>1</v>
      </c>
      <c r="N21" t="s">
        <v>2</v>
      </c>
      <c r="O21" t="s">
        <v>3</v>
      </c>
      <c r="P21" t="s">
        <v>4</v>
      </c>
      <c r="Q21" t="s">
        <v>5</v>
      </c>
      <c r="R21" t="s">
        <v>6</v>
      </c>
      <c r="S21" t="s">
        <v>7</v>
      </c>
      <c r="T21" s="38" t="s">
        <v>8</v>
      </c>
    </row>
    <row r="22" spans="1:20" x14ac:dyDescent="0.25">
      <c r="A22">
        <v>19</v>
      </c>
      <c r="B22" t="s">
        <v>45</v>
      </c>
      <c r="C22">
        <v>8</v>
      </c>
      <c r="D22" t="s">
        <v>199</v>
      </c>
      <c r="E22" t="s">
        <v>46</v>
      </c>
      <c r="F22">
        <v>9.1999999999999993</v>
      </c>
      <c r="G22">
        <v>25</v>
      </c>
      <c r="H22" t="b">
        <v>0</v>
      </c>
      <c r="I22" s="1">
        <v>45739</v>
      </c>
      <c r="L22" s="37">
        <v>3</v>
      </c>
      <c r="M22" t="s">
        <v>13</v>
      </c>
      <c r="N22">
        <v>1</v>
      </c>
      <c r="O22" t="s">
        <v>198</v>
      </c>
      <c r="P22" t="s">
        <v>14</v>
      </c>
      <c r="Q22">
        <v>10</v>
      </c>
      <c r="R22">
        <v>13</v>
      </c>
      <c r="S22" t="b">
        <v>0</v>
      </c>
      <c r="T22" s="38">
        <v>45752</v>
      </c>
    </row>
    <row r="23" spans="1:20" x14ac:dyDescent="0.25">
      <c r="A23">
        <v>20</v>
      </c>
      <c r="B23" t="s">
        <v>47</v>
      </c>
      <c r="C23">
        <v>8</v>
      </c>
      <c r="D23" t="s">
        <v>199</v>
      </c>
      <c r="E23" t="s">
        <v>48</v>
      </c>
      <c r="F23">
        <v>81</v>
      </c>
      <c r="G23">
        <v>40</v>
      </c>
      <c r="H23" t="b">
        <v>0</v>
      </c>
      <c r="I23" s="1">
        <v>45914</v>
      </c>
      <c r="L23" s="37">
        <v>4</v>
      </c>
      <c r="M23" t="s">
        <v>15</v>
      </c>
      <c r="N23">
        <v>2</v>
      </c>
      <c r="O23" t="s">
        <v>198</v>
      </c>
      <c r="P23" t="s">
        <v>16</v>
      </c>
      <c r="Q23">
        <v>22</v>
      </c>
      <c r="R23">
        <v>53</v>
      </c>
      <c r="S23" t="b">
        <v>0</v>
      </c>
      <c r="T23" s="38">
        <v>45659</v>
      </c>
    </row>
    <row r="24" spans="1:20" x14ac:dyDescent="0.25">
      <c r="A24">
        <v>21</v>
      </c>
      <c r="B24" t="s">
        <v>49</v>
      </c>
      <c r="C24">
        <v>8</v>
      </c>
      <c r="D24" t="s">
        <v>199</v>
      </c>
      <c r="E24" t="s">
        <v>50</v>
      </c>
      <c r="F24">
        <v>10</v>
      </c>
      <c r="G24">
        <v>3</v>
      </c>
      <c r="H24" t="b">
        <v>0</v>
      </c>
      <c r="I24" s="1">
        <v>45844</v>
      </c>
      <c r="L24" s="37">
        <v>5</v>
      </c>
      <c r="M24" t="s">
        <v>17</v>
      </c>
      <c r="N24">
        <v>2</v>
      </c>
      <c r="O24" t="s">
        <v>198</v>
      </c>
      <c r="P24" t="s">
        <v>18</v>
      </c>
      <c r="Q24">
        <v>21.35</v>
      </c>
      <c r="R24">
        <v>0</v>
      </c>
      <c r="S24" t="b">
        <v>1</v>
      </c>
      <c r="T24" s="38">
        <v>46002</v>
      </c>
    </row>
    <row r="25" spans="1:20" x14ac:dyDescent="0.25">
      <c r="A25">
        <v>22</v>
      </c>
      <c r="B25" t="s">
        <v>51</v>
      </c>
      <c r="C25">
        <v>9</v>
      </c>
      <c r="D25" t="s">
        <v>201</v>
      </c>
      <c r="E25" t="s">
        <v>52</v>
      </c>
      <c r="F25">
        <v>21</v>
      </c>
      <c r="G25">
        <v>104</v>
      </c>
      <c r="H25" t="b">
        <v>0</v>
      </c>
      <c r="I25" s="1">
        <v>45724</v>
      </c>
      <c r="L25" s="37">
        <v>6</v>
      </c>
      <c r="M25" t="s">
        <v>19</v>
      </c>
      <c r="N25">
        <v>3</v>
      </c>
      <c r="O25" t="s">
        <v>198</v>
      </c>
      <c r="P25" t="s">
        <v>20</v>
      </c>
      <c r="Q25">
        <v>25</v>
      </c>
      <c r="R25">
        <v>120</v>
      </c>
      <c r="S25" t="b">
        <v>0</v>
      </c>
      <c r="T25" s="38">
        <v>45869</v>
      </c>
    </row>
    <row r="26" spans="1:20" x14ac:dyDescent="0.25">
      <c r="A26">
        <v>23</v>
      </c>
      <c r="B26" t="s">
        <v>53</v>
      </c>
      <c r="C26">
        <v>9</v>
      </c>
      <c r="D26" t="s">
        <v>201</v>
      </c>
      <c r="E26" t="s">
        <v>54</v>
      </c>
      <c r="F26">
        <v>9</v>
      </c>
      <c r="G26">
        <v>61</v>
      </c>
      <c r="H26" t="b">
        <v>0</v>
      </c>
      <c r="I26" s="1">
        <v>46011</v>
      </c>
      <c r="L26" s="37">
        <v>8</v>
      </c>
      <c r="M26" t="s">
        <v>23</v>
      </c>
      <c r="N26">
        <v>3</v>
      </c>
      <c r="O26" t="s">
        <v>198</v>
      </c>
      <c r="P26" t="s">
        <v>24</v>
      </c>
      <c r="Q26">
        <v>40</v>
      </c>
      <c r="R26">
        <v>6</v>
      </c>
      <c r="S26" t="b">
        <v>0</v>
      </c>
      <c r="T26" s="38">
        <v>45857</v>
      </c>
    </row>
    <row r="27" spans="1:20" x14ac:dyDescent="0.25">
      <c r="A27">
        <v>24</v>
      </c>
      <c r="B27" t="s">
        <v>55</v>
      </c>
      <c r="C27">
        <v>10</v>
      </c>
      <c r="D27" t="s">
        <v>197</v>
      </c>
      <c r="E27" t="s">
        <v>56</v>
      </c>
      <c r="F27">
        <v>4.5</v>
      </c>
      <c r="G27">
        <v>20</v>
      </c>
      <c r="H27" t="b">
        <v>1</v>
      </c>
      <c r="I27" s="1">
        <v>46018</v>
      </c>
      <c r="L27" s="37">
        <v>15</v>
      </c>
      <c r="M27" t="s">
        <v>37</v>
      </c>
      <c r="N27">
        <v>6</v>
      </c>
      <c r="O27" t="s">
        <v>198</v>
      </c>
      <c r="P27" t="s">
        <v>38</v>
      </c>
      <c r="Q27">
        <v>15.5</v>
      </c>
      <c r="R27">
        <v>39</v>
      </c>
      <c r="S27" t="b">
        <v>0</v>
      </c>
      <c r="T27" s="38">
        <v>45910</v>
      </c>
    </row>
    <row r="28" spans="1:20" x14ac:dyDescent="0.25">
      <c r="A28">
        <v>25</v>
      </c>
      <c r="B28" t="s">
        <v>57</v>
      </c>
      <c r="C28">
        <v>11</v>
      </c>
      <c r="D28" t="s">
        <v>199</v>
      </c>
      <c r="E28" t="s">
        <v>58</v>
      </c>
      <c r="F28">
        <v>14</v>
      </c>
      <c r="G28">
        <v>76</v>
      </c>
      <c r="H28" t="b">
        <v>0</v>
      </c>
      <c r="I28" s="1">
        <v>45692</v>
      </c>
      <c r="L28" s="37">
        <v>44</v>
      </c>
      <c r="M28" t="s">
        <v>93</v>
      </c>
      <c r="N28">
        <v>20</v>
      </c>
      <c r="O28" t="s">
        <v>198</v>
      </c>
      <c r="P28" t="s">
        <v>94</v>
      </c>
      <c r="Q28">
        <v>19.45</v>
      </c>
      <c r="R28">
        <v>27</v>
      </c>
      <c r="S28" t="b">
        <v>0</v>
      </c>
      <c r="T28" s="38">
        <v>46010</v>
      </c>
    </row>
    <row r="29" spans="1:20" x14ac:dyDescent="0.25">
      <c r="A29">
        <v>26</v>
      </c>
      <c r="B29" t="s">
        <v>59</v>
      </c>
      <c r="C29">
        <v>11</v>
      </c>
      <c r="D29" t="s">
        <v>199</v>
      </c>
      <c r="E29" t="s">
        <v>60</v>
      </c>
      <c r="F29">
        <v>31.23</v>
      </c>
      <c r="G29">
        <v>15</v>
      </c>
      <c r="H29" t="b">
        <v>0</v>
      </c>
      <c r="I29" s="1">
        <v>45911</v>
      </c>
      <c r="L29" s="37">
        <v>61</v>
      </c>
      <c r="M29" t="s">
        <v>126</v>
      </c>
      <c r="N29">
        <v>29</v>
      </c>
      <c r="O29" t="s">
        <v>198</v>
      </c>
      <c r="P29" t="s">
        <v>127</v>
      </c>
      <c r="Q29">
        <v>28.5</v>
      </c>
      <c r="R29">
        <v>113</v>
      </c>
      <c r="S29" t="b">
        <v>0</v>
      </c>
      <c r="T29" s="38">
        <v>45967</v>
      </c>
    </row>
    <row r="30" spans="1:20" x14ac:dyDescent="0.25">
      <c r="A30">
        <v>27</v>
      </c>
      <c r="B30" t="s">
        <v>61</v>
      </c>
      <c r="C30">
        <v>11</v>
      </c>
      <c r="D30" t="s">
        <v>199</v>
      </c>
      <c r="E30" t="s">
        <v>62</v>
      </c>
      <c r="F30">
        <v>43.9</v>
      </c>
      <c r="G30">
        <v>49</v>
      </c>
      <c r="H30" t="b">
        <v>0</v>
      </c>
      <c r="I30" s="1">
        <v>45784</v>
      </c>
      <c r="L30" s="37">
        <v>63</v>
      </c>
      <c r="M30" t="s">
        <v>130</v>
      </c>
      <c r="N30">
        <v>7</v>
      </c>
      <c r="O30" t="s">
        <v>198</v>
      </c>
      <c r="P30" t="s">
        <v>131</v>
      </c>
      <c r="Q30">
        <v>43.9</v>
      </c>
      <c r="R30">
        <v>24</v>
      </c>
      <c r="S30" t="b">
        <v>0</v>
      </c>
      <c r="T30" s="38">
        <v>45824</v>
      </c>
    </row>
    <row r="31" spans="1:20" x14ac:dyDescent="0.25">
      <c r="A31">
        <v>28</v>
      </c>
      <c r="B31" t="s">
        <v>63</v>
      </c>
      <c r="C31">
        <v>12</v>
      </c>
      <c r="D31" t="s">
        <v>204</v>
      </c>
      <c r="E31" t="s">
        <v>64</v>
      </c>
      <c r="F31">
        <v>45.6</v>
      </c>
      <c r="G31">
        <v>26</v>
      </c>
      <c r="H31" t="b">
        <v>1</v>
      </c>
      <c r="I31" s="1">
        <v>45731</v>
      </c>
      <c r="L31" s="37">
        <v>65</v>
      </c>
      <c r="M31" t="s">
        <v>134</v>
      </c>
      <c r="N31">
        <v>2</v>
      </c>
      <c r="O31" t="s">
        <v>198</v>
      </c>
      <c r="P31" t="s">
        <v>135</v>
      </c>
      <c r="Q31">
        <v>21.05</v>
      </c>
      <c r="R31">
        <v>76</v>
      </c>
      <c r="S31" t="b">
        <v>0</v>
      </c>
      <c r="T31" s="38">
        <v>45715</v>
      </c>
    </row>
    <row r="32" spans="1:20" x14ac:dyDescent="0.25">
      <c r="A32">
        <v>29</v>
      </c>
      <c r="B32" t="s">
        <v>65</v>
      </c>
      <c r="C32">
        <v>12</v>
      </c>
      <c r="D32" t="s">
        <v>202</v>
      </c>
      <c r="E32" t="s">
        <v>66</v>
      </c>
      <c r="F32">
        <v>123.79</v>
      </c>
      <c r="G32">
        <v>0</v>
      </c>
      <c r="H32" t="b">
        <v>1</v>
      </c>
      <c r="I32" s="1">
        <v>45943</v>
      </c>
      <c r="L32" s="37">
        <v>66</v>
      </c>
      <c r="M32" t="s">
        <v>136</v>
      </c>
      <c r="N32">
        <v>2</v>
      </c>
      <c r="O32" t="s">
        <v>198</v>
      </c>
      <c r="P32" t="s">
        <v>137</v>
      </c>
      <c r="Q32">
        <v>17</v>
      </c>
      <c r="R32">
        <v>4</v>
      </c>
      <c r="S32" t="b">
        <v>0</v>
      </c>
      <c r="T32" s="38">
        <v>46008</v>
      </c>
    </row>
    <row r="33" spans="1:20" ht="15.75" thickBot="1" x14ac:dyDescent="0.3">
      <c r="A33">
        <v>30</v>
      </c>
      <c r="B33" t="s">
        <v>67</v>
      </c>
      <c r="C33">
        <v>13</v>
      </c>
      <c r="D33" t="s">
        <v>203</v>
      </c>
      <c r="E33" t="s">
        <v>68</v>
      </c>
      <c r="F33">
        <v>25.89</v>
      </c>
      <c r="G33">
        <v>10</v>
      </c>
      <c r="H33" t="b">
        <v>0</v>
      </c>
      <c r="I33" s="1">
        <v>45723</v>
      </c>
      <c r="L33" s="39">
        <v>77</v>
      </c>
      <c r="M33" s="40" t="s">
        <v>154</v>
      </c>
      <c r="N33" s="40">
        <v>12</v>
      </c>
      <c r="O33" s="40" t="s">
        <v>198</v>
      </c>
      <c r="P33" s="40" t="s">
        <v>155</v>
      </c>
      <c r="Q33" s="40">
        <v>13</v>
      </c>
      <c r="R33" s="40">
        <v>32</v>
      </c>
      <c r="S33" s="40" t="b">
        <v>0</v>
      </c>
      <c r="T33" s="41">
        <v>45883</v>
      </c>
    </row>
    <row r="34" spans="1:20" x14ac:dyDescent="0.25">
      <c r="A34">
        <v>31</v>
      </c>
      <c r="B34" t="s">
        <v>69</v>
      </c>
      <c r="C34">
        <v>14</v>
      </c>
      <c r="D34" t="s">
        <v>200</v>
      </c>
      <c r="E34" t="s">
        <v>70</v>
      </c>
      <c r="F34">
        <v>12.5</v>
      </c>
      <c r="G34">
        <v>0</v>
      </c>
      <c r="H34" t="b">
        <v>0</v>
      </c>
      <c r="I34" s="1">
        <v>45791</v>
      </c>
    </row>
    <row r="35" spans="1:20" ht="15.75" thickBot="1" x14ac:dyDescent="0.3">
      <c r="A35">
        <v>32</v>
      </c>
      <c r="B35" t="s">
        <v>71</v>
      </c>
      <c r="C35">
        <v>14</v>
      </c>
      <c r="D35" t="s">
        <v>200</v>
      </c>
      <c r="E35" t="s">
        <v>72</v>
      </c>
      <c r="F35">
        <v>32</v>
      </c>
      <c r="G35">
        <v>9</v>
      </c>
      <c r="H35" t="b">
        <v>0</v>
      </c>
      <c r="I35" s="1">
        <v>46011</v>
      </c>
    </row>
    <row r="36" spans="1:20" x14ac:dyDescent="0.25">
      <c r="A36">
        <v>33</v>
      </c>
      <c r="B36" t="s">
        <v>73</v>
      </c>
      <c r="C36">
        <v>15</v>
      </c>
      <c r="D36" t="s">
        <v>200</v>
      </c>
      <c r="E36" t="s">
        <v>74</v>
      </c>
      <c r="F36">
        <v>2.5</v>
      </c>
      <c r="G36">
        <v>112</v>
      </c>
      <c r="H36" t="b">
        <v>0</v>
      </c>
      <c r="I36" s="1">
        <v>45804</v>
      </c>
      <c r="L36" s="32" t="s">
        <v>211</v>
      </c>
      <c r="M36" s="33"/>
      <c r="N36" s="33"/>
      <c r="O36" s="33"/>
      <c r="P36" s="33"/>
      <c r="Q36" s="33"/>
      <c r="R36" s="33"/>
      <c r="S36" s="33"/>
      <c r="T36" s="34"/>
    </row>
    <row r="37" spans="1:20" x14ac:dyDescent="0.25">
      <c r="A37">
        <v>34</v>
      </c>
      <c r="B37" t="s">
        <v>75</v>
      </c>
      <c r="C37">
        <v>16</v>
      </c>
      <c r="D37" t="s">
        <v>197</v>
      </c>
      <c r="E37" t="s">
        <v>12</v>
      </c>
      <c r="F37">
        <v>14</v>
      </c>
      <c r="G37">
        <v>111</v>
      </c>
      <c r="H37" t="b">
        <v>0</v>
      </c>
      <c r="I37" s="1">
        <v>45723</v>
      </c>
      <c r="L37" s="35" t="s">
        <v>2</v>
      </c>
      <c r="M37" s="24" t="s">
        <v>3</v>
      </c>
      <c r="T37" s="36"/>
    </row>
    <row r="38" spans="1:20" x14ac:dyDescent="0.25">
      <c r="A38">
        <v>35</v>
      </c>
      <c r="B38" t="s">
        <v>76</v>
      </c>
      <c r="C38">
        <v>16</v>
      </c>
      <c r="D38" t="s">
        <v>197</v>
      </c>
      <c r="E38" t="s">
        <v>12</v>
      </c>
      <c r="F38">
        <v>18</v>
      </c>
      <c r="G38">
        <v>20</v>
      </c>
      <c r="H38" t="b">
        <v>0</v>
      </c>
      <c r="I38" s="1">
        <v>45973</v>
      </c>
      <c r="L38" s="37" t="s">
        <v>209</v>
      </c>
      <c r="M38" t="s">
        <v>198</v>
      </c>
      <c r="T38" s="36"/>
    </row>
    <row r="39" spans="1:20" x14ac:dyDescent="0.25">
      <c r="A39">
        <v>36</v>
      </c>
      <c r="B39" t="s">
        <v>77</v>
      </c>
      <c r="C39">
        <v>17</v>
      </c>
      <c r="D39" t="s">
        <v>203</v>
      </c>
      <c r="E39" t="s">
        <v>78</v>
      </c>
      <c r="F39">
        <v>19</v>
      </c>
      <c r="G39">
        <v>112</v>
      </c>
      <c r="H39" t="b">
        <v>0</v>
      </c>
      <c r="I39" s="1">
        <v>45990</v>
      </c>
      <c r="L39" s="37"/>
      <c r="M39" t="s">
        <v>200</v>
      </c>
      <c r="T39" s="36"/>
    </row>
    <row r="40" spans="1:20" x14ac:dyDescent="0.25">
      <c r="A40">
        <v>37</v>
      </c>
      <c r="B40" t="s">
        <v>79</v>
      </c>
      <c r="C40">
        <v>17</v>
      </c>
      <c r="D40" t="s">
        <v>203</v>
      </c>
      <c r="E40" t="s">
        <v>80</v>
      </c>
      <c r="F40">
        <v>26</v>
      </c>
      <c r="G40">
        <v>11</v>
      </c>
      <c r="H40" t="b">
        <v>0</v>
      </c>
      <c r="I40" s="1">
        <v>45870</v>
      </c>
      <c r="L40" s="37"/>
      <c r="T40" s="36"/>
    </row>
    <row r="41" spans="1:20" x14ac:dyDescent="0.25">
      <c r="A41">
        <v>38</v>
      </c>
      <c r="B41" t="s">
        <v>81</v>
      </c>
      <c r="C41">
        <v>18</v>
      </c>
      <c r="D41" t="s">
        <v>197</v>
      </c>
      <c r="E41" t="s">
        <v>82</v>
      </c>
      <c r="F41">
        <v>263.5</v>
      </c>
      <c r="G41">
        <v>17</v>
      </c>
      <c r="H41" t="b">
        <v>0</v>
      </c>
      <c r="I41" s="1">
        <v>45841</v>
      </c>
      <c r="L41" s="37" t="s">
        <v>0</v>
      </c>
      <c r="M41" t="s">
        <v>1</v>
      </c>
      <c r="N41" t="s">
        <v>2</v>
      </c>
      <c r="O41" t="s">
        <v>3</v>
      </c>
      <c r="P41" t="s">
        <v>4</v>
      </c>
      <c r="Q41" t="s">
        <v>5</v>
      </c>
      <c r="R41" t="s">
        <v>6</v>
      </c>
      <c r="S41" t="s">
        <v>7</v>
      </c>
      <c r="T41" s="38" t="s">
        <v>8</v>
      </c>
    </row>
    <row r="42" spans="1:20" x14ac:dyDescent="0.25">
      <c r="A42">
        <v>39</v>
      </c>
      <c r="B42" t="s">
        <v>83</v>
      </c>
      <c r="C42">
        <v>18</v>
      </c>
      <c r="D42" t="s">
        <v>197</v>
      </c>
      <c r="E42" t="s">
        <v>84</v>
      </c>
      <c r="F42">
        <v>18</v>
      </c>
      <c r="G42">
        <v>69</v>
      </c>
      <c r="H42" t="b">
        <v>0</v>
      </c>
      <c r="I42" s="1">
        <v>45860</v>
      </c>
      <c r="L42" s="37">
        <v>11</v>
      </c>
      <c r="M42" t="s">
        <v>29</v>
      </c>
      <c r="N42">
        <v>5</v>
      </c>
      <c r="O42" t="s">
        <v>200</v>
      </c>
      <c r="P42" t="s">
        <v>30</v>
      </c>
      <c r="Q42">
        <v>21</v>
      </c>
      <c r="R42">
        <v>22</v>
      </c>
      <c r="S42" t="b">
        <v>0</v>
      </c>
      <c r="T42" s="38">
        <v>45976</v>
      </c>
    </row>
    <row r="43" spans="1:20" x14ac:dyDescent="0.25">
      <c r="A43">
        <v>40</v>
      </c>
      <c r="B43" t="s">
        <v>85</v>
      </c>
      <c r="C43">
        <v>19</v>
      </c>
      <c r="D43" t="s">
        <v>203</v>
      </c>
      <c r="E43" t="s">
        <v>86</v>
      </c>
      <c r="F43">
        <v>18.399999999999999</v>
      </c>
      <c r="G43">
        <v>123</v>
      </c>
      <c r="H43" t="b">
        <v>0</v>
      </c>
      <c r="I43" s="1">
        <v>45681</v>
      </c>
      <c r="L43" s="37">
        <v>12</v>
      </c>
      <c r="M43" t="s">
        <v>31</v>
      </c>
      <c r="N43">
        <v>5</v>
      </c>
      <c r="O43" t="s">
        <v>200</v>
      </c>
      <c r="P43" t="s">
        <v>32</v>
      </c>
      <c r="Q43">
        <v>38</v>
      </c>
      <c r="R43">
        <v>86</v>
      </c>
      <c r="S43" t="b">
        <v>0</v>
      </c>
      <c r="T43" s="38">
        <v>45894</v>
      </c>
    </row>
    <row r="44" spans="1:20" x14ac:dyDescent="0.25">
      <c r="A44">
        <v>41</v>
      </c>
      <c r="B44" t="s">
        <v>87</v>
      </c>
      <c r="C44">
        <v>19</v>
      </c>
      <c r="D44" t="s">
        <v>203</v>
      </c>
      <c r="E44" t="s">
        <v>88</v>
      </c>
      <c r="F44">
        <v>9.65</v>
      </c>
      <c r="G44">
        <v>85</v>
      </c>
      <c r="H44" t="b">
        <v>0</v>
      </c>
      <c r="I44" s="1">
        <v>45856</v>
      </c>
      <c r="L44" s="37">
        <v>31</v>
      </c>
      <c r="M44" t="s">
        <v>69</v>
      </c>
      <c r="N44">
        <v>14</v>
      </c>
      <c r="O44" t="s">
        <v>200</v>
      </c>
      <c r="P44" t="s">
        <v>70</v>
      </c>
      <c r="Q44">
        <v>12.5</v>
      </c>
      <c r="R44">
        <v>0</v>
      </c>
      <c r="S44" t="b">
        <v>0</v>
      </c>
      <c r="T44" s="38">
        <v>45791</v>
      </c>
    </row>
    <row r="45" spans="1:20" x14ac:dyDescent="0.25">
      <c r="A45">
        <v>42</v>
      </c>
      <c r="B45" t="s">
        <v>89</v>
      </c>
      <c r="C45">
        <v>20</v>
      </c>
      <c r="D45" t="s">
        <v>201</v>
      </c>
      <c r="E45" t="s">
        <v>90</v>
      </c>
      <c r="F45">
        <v>14</v>
      </c>
      <c r="G45">
        <v>26</v>
      </c>
      <c r="H45" t="b">
        <v>1</v>
      </c>
      <c r="I45" s="1">
        <v>45974</v>
      </c>
      <c r="L45" s="37">
        <v>32</v>
      </c>
      <c r="M45" t="s">
        <v>71</v>
      </c>
      <c r="N45">
        <v>14</v>
      </c>
      <c r="O45" t="s">
        <v>200</v>
      </c>
      <c r="P45" t="s">
        <v>72</v>
      </c>
      <c r="Q45">
        <v>32</v>
      </c>
      <c r="R45">
        <v>9</v>
      </c>
      <c r="S45" t="b">
        <v>0</v>
      </c>
      <c r="T45" s="38">
        <v>46011</v>
      </c>
    </row>
    <row r="46" spans="1:20" x14ac:dyDescent="0.25">
      <c r="A46">
        <v>43</v>
      </c>
      <c r="B46" t="s">
        <v>91</v>
      </c>
      <c r="C46">
        <v>20</v>
      </c>
      <c r="D46" t="s">
        <v>197</v>
      </c>
      <c r="E46" t="s">
        <v>92</v>
      </c>
      <c r="F46">
        <v>46</v>
      </c>
      <c r="G46">
        <v>17</v>
      </c>
      <c r="H46" t="b">
        <v>0</v>
      </c>
      <c r="I46" s="1">
        <v>45793</v>
      </c>
      <c r="L46" s="37">
        <v>33</v>
      </c>
      <c r="M46" t="s">
        <v>73</v>
      </c>
      <c r="N46">
        <v>15</v>
      </c>
      <c r="O46" t="s">
        <v>200</v>
      </c>
      <c r="P46" t="s">
        <v>74</v>
      </c>
      <c r="Q46">
        <v>2.5</v>
      </c>
      <c r="R46">
        <v>112</v>
      </c>
      <c r="S46" t="b">
        <v>0</v>
      </c>
      <c r="T46" s="38">
        <v>45804</v>
      </c>
    </row>
    <row r="47" spans="1:20" x14ac:dyDescent="0.25">
      <c r="A47">
        <v>44</v>
      </c>
      <c r="B47" t="s">
        <v>93</v>
      </c>
      <c r="C47">
        <v>20</v>
      </c>
      <c r="D47" t="s">
        <v>198</v>
      </c>
      <c r="E47" t="s">
        <v>94</v>
      </c>
      <c r="F47">
        <v>19.45</v>
      </c>
      <c r="G47">
        <v>27</v>
      </c>
      <c r="H47" t="b">
        <v>0</v>
      </c>
      <c r="I47" s="1">
        <v>46010</v>
      </c>
      <c r="L47" s="37">
        <v>44</v>
      </c>
      <c r="M47" t="s">
        <v>93</v>
      </c>
      <c r="N47">
        <v>20</v>
      </c>
      <c r="O47" t="s">
        <v>198</v>
      </c>
      <c r="P47" t="s">
        <v>94</v>
      </c>
      <c r="Q47">
        <v>19.45</v>
      </c>
      <c r="R47">
        <v>27</v>
      </c>
      <c r="S47" t="b">
        <v>0</v>
      </c>
      <c r="T47" s="38">
        <v>46010</v>
      </c>
    </row>
    <row r="48" spans="1:20" x14ac:dyDescent="0.25">
      <c r="A48">
        <v>45</v>
      </c>
      <c r="B48" t="s">
        <v>95</v>
      </c>
      <c r="C48">
        <v>21</v>
      </c>
      <c r="D48" t="s">
        <v>203</v>
      </c>
      <c r="E48" t="s">
        <v>96</v>
      </c>
      <c r="F48">
        <v>9.5</v>
      </c>
      <c r="G48">
        <v>5</v>
      </c>
      <c r="H48" t="b">
        <v>0</v>
      </c>
      <c r="I48" s="1">
        <v>45732</v>
      </c>
      <c r="L48" s="37">
        <v>59</v>
      </c>
      <c r="M48" t="s">
        <v>122</v>
      </c>
      <c r="N48">
        <v>28</v>
      </c>
      <c r="O48" t="s">
        <v>200</v>
      </c>
      <c r="P48" t="s">
        <v>123</v>
      </c>
      <c r="Q48">
        <v>55</v>
      </c>
      <c r="R48">
        <v>79</v>
      </c>
      <c r="S48" t="b">
        <v>0</v>
      </c>
      <c r="T48" s="38">
        <v>45975</v>
      </c>
    </row>
    <row r="49" spans="1:20" x14ac:dyDescent="0.25">
      <c r="A49">
        <v>46</v>
      </c>
      <c r="B49" t="s">
        <v>97</v>
      </c>
      <c r="C49">
        <v>21</v>
      </c>
      <c r="D49" t="s">
        <v>203</v>
      </c>
      <c r="E49" t="s">
        <v>98</v>
      </c>
      <c r="F49">
        <v>12</v>
      </c>
      <c r="G49">
        <v>95</v>
      </c>
      <c r="H49" t="b">
        <v>0</v>
      </c>
      <c r="I49" s="1">
        <v>45955</v>
      </c>
      <c r="L49" s="37">
        <v>60</v>
      </c>
      <c r="M49" t="s">
        <v>124</v>
      </c>
      <c r="N49">
        <v>28</v>
      </c>
      <c r="O49" t="s">
        <v>200</v>
      </c>
      <c r="P49" t="s">
        <v>125</v>
      </c>
      <c r="Q49">
        <v>34</v>
      </c>
      <c r="R49">
        <v>19</v>
      </c>
      <c r="S49" t="b">
        <v>0</v>
      </c>
      <c r="T49" s="38">
        <v>45771</v>
      </c>
    </row>
    <row r="50" spans="1:20" x14ac:dyDescent="0.25">
      <c r="A50">
        <v>47</v>
      </c>
      <c r="B50" t="s">
        <v>99</v>
      </c>
      <c r="C50">
        <v>22</v>
      </c>
      <c r="D50" t="s">
        <v>199</v>
      </c>
      <c r="E50" t="s">
        <v>100</v>
      </c>
      <c r="F50">
        <v>9.5</v>
      </c>
      <c r="G50">
        <v>36</v>
      </c>
      <c r="H50" t="b">
        <v>0</v>
      </c>
      <c r="I50" s="1">
        <v>45985</v>
      </c>
      <c r="L50" s="37">
        <v>61</v>
      </c>
      <c r="M50" t="s">
        <v>126</v>
      </c>
      <c r="N50">
        <v>29</v>
      </c>
      <c r="O50" t="s">
        <v>198</v>
      </c>
      <c r="P50" t="s">
        <v>127</v>
      </c>
      <c r="Q50">
        <v>28.5</v>
      </c>
      <c r="R50">
        <v>113</v>
      </c>
      <c r="S50" t="b">
        <v>0</v>
      </c>
      <c r="T50" s="38">
        <v>45967</v>
      </c>
    </row>
    <row r="51" spans="1:20" x14ac:dyDescent="0.25">
      <c r="A51">
        <v>48</v>
      </c>
      <c r="B51" t="s">
        <v>101</v>
      </c>
      <c r="C51">
        <v>22</v>
      </c>
      <c r="D51" t="s">
        <v>199</v>
      </c>
      <c r="E51" t="s">
        <v>102</v>
      </c>
      <c r="F51">
        <v>12.75</v>
      </c>
      <c r="G51">
        <v>15</v>
      </c>
      <c r="H51" t="b">
        <v>0</v>
      </c>
      <c r="I51" s="1">
        <v>45737</v>
      </c>
      <c r="L51" s="37">
        <v>69</v>
      </c>
      <c r="M51" t="s">
        <v>141</v>
      </c>
      <c r="N51">
        <v>15</v>
      </c>
      <c r="O51" t="s">
        <v>200</v>
      </c>
      <c r="P51" t="s">
        <v>142</v>
      </c>
      <c r="Q51">
        <v>36</v>
      </c>
      <c r="R51">
        <v>26</v>
      </c>
      <c r="S51" t="b">
        <v>0</v>
      </c>
      <c r="T51" s="38">
        <v>45827</v>
      </c>
    </row>
    <row r="52" spans="1:20" x14ac:dyDescent="0.25">
      <c r="A52">
        <v>49</v>
      </c>
      <c r="B52" t="s">
        <v>103</v>
      </c>
      <c r="C52">
        <v>23</v>
      </c>
      <c r="D52" t="s">
        <v>199</v>
      </c>
      <c r="E52" t="s">
        <v>104</v>
      </c>
      <c r="F52">
        <v>20</v>
      </c>
      <c r="G52">
        <v>10</v>
      </c>
      <c r="H52" t="b">
        <v>0</v>
      </c>
      <c r="I52" s="1">
        <v>45768</v>
      </c>
      <c r="L52" s="37">
        <v>71</v>
      </c>
      <c r="M52" t="s">
        <v>145</v>
      </c>
      <c r="N52">
        <v>15</v>
      </c>
      <c r="O52" t="s">
        <v>200</v>
      </c>
      <c r="P52" t="s">
        <v>32</v>
      </c>
      <c r="Q52">
        <v>21.5</v>
      </c>
      <c r="R52">
        <v>26</v>
      </c>
      <c r="S52" t="b">
        <v>0</v>
      </c>
      <c r="T52" s="38">
        <v>46004</v>
      </c>
    </row>
    <row r="53" spans="1:20" x14ac:dyDescent="0.25">
      <c r="A53">
        <v>50</v>
      </c>
      <c r="B53" t="s">
        <v>105</v>
      </c>
      <c r="C53">
        <v>23</v>
      </c>
      <c r="D53" t="s">
        <v>199</v>
      </c>
      <c r="E53" t="s">
        <v>106</v>
      </c>
      <c r="F53">
        <v>16.25</v>
      </c>
      <c r="G53">
        <v>65</v>
      </c>
      <c r="H53" t="b">
        <v>0</v>
      </c>
      <c r="I53" s="1">
        <v>45796</v>
      </c>
      <c r="L53" s="37">
        <v>72</v>
      </c>
      <c r="M53" t="s">
        <v>146</v>
      </c>
      <c r="N53">
        <v>14</v>
      </c>
      <c r="O53" t="s">
        <v>200</v>
      </c>
      <c r="P53" t="s">
        <v>72</v>
      </c>
      <c r="Q53">
        <v>34.799999999999997</v>
      </c>
      <c r="R53">
        <v>14</v>
      </c>
      <c r="S53" t="b">
        <v>0</v>
      </c>
      <c r="T53" s="38">
        <v>45717</v>
      </c>
    </row>
    <row r="54" spans="1:20" ht="15.75" thickBot="1" x14ac:dyDescent="0.3">
      <c r="A54">
        <v>51</v>
      </c>
      <c r="B54" t="s">
        <v>107</v>
      </c>
      <c r="C54">
        <v>24</v>
      </c>
      <c r="D54" t="s">
        <v>204</v>
      </c>
      <c r="E54" t="s">
        <v>108</v>
      </c>
      <c r="F54">
        <v>53</v>
      </c>
      <c r="G54">
        <v>20</v>
      </c>
      <c r="H54" t="b">
        <v>0</v>
      </c>
      <c r="I54" s="1">
        <v>45968</v>
      </c>
      <c r="L54" s="39">
        <v>77</v>
      </c>
      <c r="M54" s="40" t="s">
        <v>154</v>
      </c>
      <c r="N54" s="40">
        <v>12</v>
      </c>
      <c r="O54" s="40" t="s">
        <v>198</v>
      </c>
      <c r="P54" s="40" t="s">
        <v>155</v>
      </c>
      <c r="Q54" s="40">
        <v>13</v>
      </c>
      <c r="R54" s="40">
        <v>32</v>
      </c>
      <c r="S54" s="40" t="b">
        <v>0</v>
      </c>
      <c r="T54" s="41">
        <v>45883</v>
      </c>
    </row>
    <row r="55" spans="1:20" x14ac:dyDescent="0.25">
      <c r="A55">
        <v>52</v>
      </c>
      <c r="B55" t="s">
        <v>109</v>
      </c>
      <c r="C55">
        <v>24</v>
      </c>
      <c r="D55" t="s">
        <v>201</v>
      </c>
      <c r="E55" t="s">
        <v>110</v>
      </c>
      <c r="F55">
        <v>7</v>
      </c>
      <c r="G55">
        <v>38</v>
      </c>
      <c r="H55" t="b">
        <v>0</v>
      </c>
      <c r="I55" s="1">
        <v>45730</v>
      </c>
    </row>
    <row r="56" spans="1:20" x14ac:dyDescent="0.25">
      <c r="A56">
        <v>53</v>
      </c>
      <c r="B56" t="s">
        <v>111</v>
      </c>
      <c r="C56">
        <v>24</v>
      </c>
      <c r="D56" t="s">
        <v>202</v>
      </c>
      <c r="E56" t="s">
        <v>112</v>
      </c>
      <c r="F56">
        <v>32.799999999999997</v>
      </c>
      <c r="G56">
        <v>0</v>
      </c>
      <c r="H56" t="b">
        <v>1</v>
      </c>
      <c r="I56" s="1">
        <v>45924</v>
      </c>
    </row>
    <row r="57" spans="1:20" x14ac:dyDescent="0.25">
      <c r="A57">
        <v>54</v>
      </c>
      <c r="B57" t="s">
        <v>113</v>
      </c>
      <c r="C57">
        <v>25</v>
      </c>
      <c r="D57" t="s">
        <v>202</v>
      </c>
      <c r="E57" t="s">
        <v>114</v>
      </c>
      <c r="F57">
        <v>7.45</v>
      </c>
      <c r="G57">
        <v>21</v>
      </c>
      <c r="H57" t="b">
        <v>0</v>
      </c>
      <c r="I57" s="1">
        <v>45987</v>
      </c>
    </row>
    <row r="58" spans="1:20" x14ac:dyDescent="0.25">
      <c r="A58">
        <v>55</v>
      </c>
      <c r="B58" t="s">
        <v>115</v>
      </c>
      <c r="C58">
        <v>25</v>
      </c>
      <c r="D58" t="s">
        <v>202</v>
      </c>
      <c r="E58" t="s">
        <v>116</v>
      </c>
      <c r="F58">
        <v>24</v>
      </c>
      <c r="G58">
        <v>115</v>
      </c>
      <c r="H58" t="b">
        <v>0</v>
      </c>
      <c r="I58" s="1">
        <v>45764</v>
      </c>
    </row>
    <row r="59" spans="1:20" x14ac:dyDescent="0.25">
      <c r="A59">
        <v>56</v>
      </c>
      <c r="B59" t="s">
        <v>117</v>
      </c>
      <c r="C59">
        <v>26</v>
      </c>
      <c r="D59" t="s">
        <v>201</v>
      </c>
      <c r="E59" t="s">
        <v>118</v>
      </c>
      <c r="F59">
        <v>38</v>
      </c>
      <c r="G59">
        <v>21</v>
      </c>
      <c r="H59" t="b">
        <v>0</v>
      </c>
      <c r="I59" s="1">
        <v>45899</v>
      </c>
    </row>
    <row r="60" spans="1:20" x14ac:dyDescent="0.25">
      <c r="A60">
        <v>57</v>
      </c>
      <c r="B60" t="s">
        <v>119</v>
      </c>
      <c r="C60">
        <v>26</v>
      </c>
      <c r="D60" t="s">
        <v>201</v>
      </c>
      <c r="E60" t="s">
        <v>118</v>
      </c>
      <c r="F60">
        <v>19.5</v>
      </c>
      <c r="G60">
        <v>36</v>
      </c>
      <c r="H60" t="b">
        <v>0</v>
      </c>
      <c r="I60" s="1">
        <v>45947</v>
      </c>
    </row>
    <row r="61" spans="1:20" x14ac:dyDescent="0.25">
      <c r="A61">
        <v>58</v>
      </c>
      <c r="B61" t="s">
        <v>120</v>
      </c>
      <c r="C61">
        <v>27</v>
      </c>
      <c r="D61" t="s">
        <v>203</v>
      </c>
      <c r="E61" t="s">
        <v>121</v>
      </c>
      <c r="F61">
        <v>13.25</v>
      </c>
      <c r="G61">
        <v>62</v>
      </c>
      <c r="H61" t="b">
        <v>0</v>
      </c>
      <c r="I61" s="1">
        <v>45793</v>
      </c>
    </row>
    <row r="62" spans="1:20" x14ac:dyDescent="0.25">
      <c r="A62">
        <v>59</v>
      </c>
      <c r="B62" t="s">
        <v>122</v>
      </c>
      <c r="C62">
        <v>28</v>
      </c>
      <c r="D62" t="s">
        <v>200</v>
      </c>
      <c r="E62" t="s">
        <v>123</v>
      </c>
      <c r="F62">
        <v>55</v>
      </c>
      <c r="G62">
        <v>79</v>
      </c>
      <c r="H62" t="b">
        <v>0</v>
      </c>
      <c r="I62" s="1">
        <v>45975</v>
      </c>
    </row>
    <row r="63" spans="1:20" x14ac:dyDescent="0.25">
      <c r="A63">
        <v>60</v>
      </c>
      <c r="B63" t="s">
        <v>124</v>
      </c>
      <c r="C63">
        <v>28</v>
      </c>
      <c r="D63" t="s">
        <v>200</v>
      </c>
      <c r="E63" t="s">
        <v>125</v>
      </c>
      <c r="F63">
        <v>34</v>
      </c>
      <c r="G63">
        <v>19</v>
      </c>
      <c r="H63" t="b">
        <v>0</v>
      </c>
      <c r="I63" s="1">
        <v>45771</v>
      </c>
    </row>
    <row r="64" spans="1:20" x14ac:dyDescent="0.25">
      <c r="A64">
        <v>61</v>
      </c>
      <c r="B64" t="s">
        <v>126</v>
      </c>
      <c r="C64">
        <v>29</v>
      </c>
      <c r="D64" t="s">
        <v>198</v>
      </c>
      <c r="E64" t="s">
        <v>127</v>
      </c>
      <c r="F64">
        <v>28.5</v>
      </c>
      <c r="G64">
        <v>113</v>
      </c>
      <c r="H64" t="b">
        <v>0</v>
      </c>
      <c r="I64" s="1">
        <v>45967</v>
      </c>
    </row>
    <row r="65" spans="1:9" x14ac:dyDescent="0.25">
      <c r="A65">
        <v>62</v>
      </c>
      <c r="B65" t="s">
        <v>128</v>
      </c>
      <c r="C65">
        <v>29</v>
      </c>
      <c r="D65" t="s">
        <v>199</v>
      </c>
      <c r="E65" t="s">
        <v>129</v>
      </c>
      <c r="F65">
        <v>49.3</v>
      </c>
      <c r="G65">
        <v>17</v>
      </c>
      <c r="H65" t="b">
        <v>0</v>
      </c>
      <c r="I65" s="1">
        <v>45846</v>
      </c>
    </row>
    <row r="66" spans="1:9" x14ac:dyDescent="0.25">
      <c r="A66">
        <v>63</v>
      </c>
      <c r="B66" t="s">
        <v>130</v>
      </c>
      <c r="C66">
        <v>7</v>
      </c>
      <c r="D66" t="s">
        <v>198</v>
      </c>
      <c r="E66" t="s">
        <v>131</v>
      </c>
      <c r="F66">
        <v>43.9</v>
      </c>
      <c r="G66">
        <v>24</v>
      </c>
      <c r="H66" t="b">
        <v>0</v>
      </c>
      <c r="I66" s="1">
        <v>45824</v>
      </c>
    </row>
    <row r="67" spans="1:9" x14ac:dyDescent="0.25">
      <c r="A67">
        <v>64</v>
      </c>
      <c r="B67" t="s">
        <v>132</v>
      </c>
      <c r="C67">
        <v>12</v>
      </c>
      <c r="D67" t="s">
        <v>201</v>
      </c>
      <c r="E67" t="s">
        <v>133</v>
      </c>
      <c r="F67">
        <v>33.25</v>
      </c>
      <c r="G67">
        <v>22</v>
      </c>
      <c r="H67" t="b">
        <v>0</v>
      </c>
      <c r="I67" s="1">
        <v>45944</v>
      </c>
    </row>
    <row r="68" spans="1:9" x14ac:dyDescent="0.25">
      <c r="A68">
        <v>65</v>
      </c>
      <c r="B68" t="s">
        <v>134</v>
      </c>
      <c r="C68">
        <v>2</v>
      </c>
      <c r="D68" t="s">
        <v>198</v>
      </c>
      <c r="E68" t="s">
        <v>135</v>
      </c>
      <c r="F68">
        <v>21.05</v>
      </c>
      <c r="G68">
        <v>76</v>
      </c>
      <c r="H68" t="b">
        <v>0</v>
      </c>
      <c r="I68" s="1">
        <v>45715</v>
      </c>
    </row>
    <row r="69" spans="1:9" x14ac:dyDescent="0.25">
      <c r="A69">
        <v>66</v>
      </c>
      <c r="B69" t="s">
        <v>136</v>
      </c>
      <c r="C69">
        <v>2</v>
      </c>
      <c r="D69" t="s">
        <v>198</v>
      </c>
      <c r="E69" t="s">
        <v>137</v>
      </c>
      <c r="F69">
        <v>17</v>
      </c>
      <c r="G69">
        <v>4</v>
      </c>
      <c r="H69" t="b">
        <v>0</v>
      </c>
      <c r="I69" s="1">
        <v>46008</v>
      </c>
    </row>
    <row r="70" spans="1:9" x14ac:dyDescent="0.25">
      <c r="A70">
        <v>67</v>
      </c>
      <c r="B70" t="s">
        <v>138</v>
      </c>
      <c r="C70">
        <v>16</v>
      </c>
      <c r="D70" t="s">
        <v>197</v>
      </c>
      <c r="E70" t="s">
        <v>12</v>
      </c>
      <c r="F70">
        <v>14</v>
      </c>
      <c r="G70">
        <v>52</v>
      </c>
      <c r="H70" t="b">
        <v>0</v>
      </c>
      <c r="I70" s="1">
        <v>45715</v>
      </c>
    </row>
    <row r="71" spans="1:9" x14ac:dyDescent="0.25">
      <c r="A71">
        <v>68</v>
      </c>
      <c r="B71" t="s">
        <v>139</v>
      </c>
      <c r="C71">
        <v>8</v>
      </c>
      <c r="D71" t="s">
        <v>199</v>
      </c>
      <c r="E71" t="s">
        <v>140</v>
      </c>
      <c r="F71">
        <v>12.5</v>
      </c>
      <c r="G71">
        <v>6</v>
      </c>
      <c r="H71" t="b">
        <v>0</v>
      </c>
      <c r="I71" s="1">
        <v>45695</v>
      </c>
    </row>
    <row r="72" spans="1:9" x14ac:dyDescent="0.25">
      <c r="A72">
        <v>69</v>
      </c>
      <c r="B72" t="s">
        <v>141</v>
      </c>
      <c r="C72">
        <v>15</v>
      </c>
      <c r="D72" t="s">
        <v>200</v>
      </c>
      <c r="E72" t="s">
        <v>142</v>
      </c>
      <c r="F72">
        <v>36</v>
      </c>
      <c r="G72">
        <v>26</v>
      </c>
      <c r="H72" t="b">
        <v>0</v>
      </c>
      <c r="I72" s="1">
        <v>45827</v>
      </c>
    </row>
    <row r="73" spans="1:9" x14ac:dyDescent="0.25">
      <c r="A73">
        <v>70</v>
      </c>
      <c r="B73" t="s">
        <v>143</v>
      </c>
      <c r="C73">
        <v>7</v>
      </c>
      <c r="D73" t="s">
        <v>197</v>
      </c>
      <c r="E73" t="s">
        <v>144</v>
      </c>
      <c r="F73">
        <v>15</v>
      </c>
      <c r="G73">
        <v>15</v>
      </c>
      <c r="H73" t="b">
        <v>0</v>
      </c>
      <c r="I73" s="1">
        <v>45827</v>
      </c>
    </row>
    <row r="74" spans="1:9" x14ac:dyDescent="0.25">
      <c r="A74">
        <v>71</v>
      </c>
      <c r="B74" t="s">
        <v>145</v>
      </c>
      <c r="C74">
        <v>15</v>
      </c>
      <c r="D74" t="s">
        <v>200</v>
      </c>
      <c r="E74" t="s">
        <v>32</v>
      </c>
      <c r="F74">
        <v>21.5</v>
      </c>
      <c r="G74">
        <v>26</v>
      </c>
      <c r="H74" t="b">
        <v>0</v>
      </c>
      <c r="I74" s="1">
        <v>46004</v>
      </c>
    </row>
    <row r="75" spans="1:9" x14ac:dyDescent="0.25">
      <c r="A75">
        <v>72</v>
      </c>
      <c r="B75" t="s">
        <v>146</v>
      </c>
      <c r="C75">
        <v>14</v>
      </c>
      <c r="D75" t="s">
        <v>200</v>
      </c>
      <c r="E75" t="s">
        <v>72</v>
      </c>
      <c r="F75">
        <v>34.799999999999997</v>
      </c>
      <c r="G75">
        <v>14</v>
      </c>
      <c r="H75" t="b">
        <v>0</v>
      </c>
      <c r="I75" s="1">
        <v>45717</v>
      </c>
    </row>
    <row r="76" spans="1:9" x14ac:dyDescent="0.25">
      <c r="A76">
        <v>73</v>
      </c>
      <c r="B76" t="s">
        <v>147</v>
      </c>
      <c r="C76">
        <v>17</v>
      </c>
      <c r="D76" t="s">
        <v>203</v>
      </c>
      <c r="E76" t="s">
        <v>148</v>
      </c>
      <c r="F76">
        <v>15</v>
      </c>
      <c r="G76">
        <v>101</v>
      </c>
      <c r="H76" t="b">
        <v>0</v>
      </c>
      <c r="I76" s="1">
        <v>45683</v>
      </c>
    </row>
    <row r="77" spans="1:9" x14ac:dyDescent="0.25">
      <c r="A77">
        <v>74</v>
      </c>
      <c r="B77" t="s">
        <v>149</v>
      </c>
      <c r="C77">
        <v>4</v>
      </c>
      <c r="D77" t="s">
        <v>204</v>
      </c>
      <c r="E77" t="s">
        <v>123</v>
      </c>
      <c r="F77">
        <v>10</v>
      </c>
      <c r="G77">
        <v>4</v>
      </c>
      <c r="H77" t="b">
        <v>0</v>
      </c>
      <c r="I77" s="1">
        <v>45904</v>
      </c>
    </row>
    <row r="78" spans="1:9" x14ac:dyDescent="0.25">
      <c r="A78">
        <v>75</v>
      </c>
      <c r="B78" t="s">
        <v>150</v>
      </c>
      <c r="C78">
        <v>12</v>
      </c>
      <c r="D78" t="s">
        <v>197</v>
      </c>
      <c r="E78" t="s">
        <v>151</v>
      </c>
      <c r="F78">
        <v>7.75</v>
      </c>
      <c r="G78">
        <v>125</v>
      </c>
      <c r="H78" t="b">
        <v>0</v>
      </c>
      <c r="I78" s="1">
        <v>45896</v>
      </c>
    </row>
    <row r="79" spans="1:9" x14ac:dyDescent="0.25">
      <c r="A79">
        <v>76</v>
      </c>
      <c r="B79" t="s">
        <v>152</v>
      </c>
      <c r="C79">
        <v>23</v>
      </c>
      <c r="D79" t="s">
        <v>197</v>
      </c>
      <c r="E79" t="s">
        <v>153</v>
      </c>
      <c r="F79">
        <v>18</v>
      </c>
      <c r="G79">
        <v>57</v>
      </c>
      <c r="H79" t="b">
        <v>0</v>
      </c>
      <c r="I79" s="1">
        <v>45704</v>
      </c>
    </row>
    <row r="80" spans="1:9" x14ac:dyDescent="0.25">
      <c r="A80">
        <v>77</v>
      </c>
      <c r="B80" t="s">
        <v>154</v>
      </c>
      <c r="C80">
        <v>12</v>
      </c>
      <c r="D80" t="s">
        <v>198</v>
      </c>
      <c r="E80" t="s">
        <v>155</v>
      </c>
      <c r="F80">
        <v>13</v>
      </c>
      <c r="G80">
        <v>32</v>
      </c>
      <c r="H80" t="b">
        <v>0</v>
      </c>
      <c r="I80" s="1">
        <v>45883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108A-6DDF-4A2F-B699-9D039D1561B2}">
  <dimension ref="A1:AC90"/>
  <sheetViews>
    <sheetView workbookViewId="0">
      <selection activeCell="L28" sqref="L28"/>
    </sheetView>
  </sheetViews>
  <sheetFormatPr baseColWidth="10" defaultColWidth="9.140625" defaultRowHeight="15" x14ac:dyDescent="0.25"/>
  <cols>
    <col min="9" max="9" width="10.5703125" bestFit="1" customWidth="1"/>
    <col min="12" max="12" width="22.5703125" customWidth="1"/>
    <col min="19" max="19" width="10.140625" style="1" bestFit="1" customWidth="1"/>
    <col min="29" max="29" width="10.140625" style="1" bestFit="1" customWidth="1"/>
  </cols>
  <sheetData>
    <row r="1" spans="1:29" ht="35.2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</row>
    <row r="2" spans="1:29" ht="21" x14ac:dyDescent="0.35">
      <c r="A2" s="4"/>
      <c r="B2" s="4"/>
      <c r="C2" s="4"/>
      <c r="D2" s="4"/>
      <c r="E2" s="4"/>
      <c r="F2" s="4"/>
      <c r="G2" s="4"/>
      <c r="H2" s="4"/>
      <c r="I2" s="4"/>
      <c r="K2" s="31" t="s">
        <v>207</v>
      </c>
      <c r="L2" s="31"/>
      <c r="M2" s="31"/>
      <c r="N2" s="31"/>
      <c r="O2" s="31"/>
      <c r="P2" s="31"/>
      <c r="Q2" s="31"/>
      <c r="R2" s="31"/>
      <c r="S2" s="31"/>
    </row>
    <row r="3" spans="1:29" ht="20.25" thickBot="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  <c r="K3" s="28" t="str">
        <f ca="1">_xlfn.FORMULATEXT(K4)</f>
        <v>=FILTRE(tbl_ex8;tbl_ex8[Nb en stock]&lt;=3;"Pas de résultat")</v>
      </c>
      <c r="L3" s="28"/>
      <c r="M3" s="28"/>
      <c r="N3" s="28"/>
      <c r="O3" s="28"/>
      <c r="P3" s="28"/>
      <c r="Q3" s="28"/>
      <c r="R3" s="28"/>
      <c r="S3" s="29"/>
    </row>
    <row r="4" spans="1:29" ht="15.75" thickTop="1" x14ac:dyDescent="0.25">
      <c r="B4" t="s">
        <v>9</v>
      </c>
      <c r="C4">
        <v>1</v>
      </c>
      <c r="D4" t="s">
        <v>197</v>
      </c>
      <c r="E4" t="s">
        <v>10</v>
      </c>
      <c r="F4">
        <v>18</v>
      </c>
      <c r="G4">
        <v>39</v>
      </c>
      <c r="H4" t="b">
        <v>0</v>
      </c>
      <c r="I4" s="1">
        <v>45953</v>
      </c>
      <c r="K4" cm="1">
        <f t="array" ref="K4:S9">_xlfn._xlws.FILTER(tbl_ex8[],tbl_ex8[Nb en stock]&lt;=3,"Pas de résultat")</f>
        <v>5</v>
      </c>
      <c r="L4" t="str">
        <v>Chef Anton's Gumbo Mix</v>
      </c>
      <c r="M4">
        <v>2</v>
      </c>
      <c r="N4" t="str">
        <v>Epices</v>
      </c>
      <c r="O4" t="str">
        <v>36 boxes</v>
      </c>
      <c r="P4">
        <v>21.35</v>
      </c>
      <c r="Q4">
        <v>0</v>
      </c>
      <c r="R4" t="b">
        <v>1</v>
      </c>
      <c r="S4" s="1">
        <v>46002</v>
      </c>
    </row>
    <row r="5" spans="1:29" x14ac:dyDescent="0.25">
      <c r="A5">
        <v>2</v>
      </c>
      <c r="B5" t="s">
        <v>11</v>
      </c>
      <c r="C5">
        <v>1</v>
      </c>
      <c r="D5" t="s">
        <v>197</v>
      </c>
      <c r="E5" t="s">
        <v>12</v>
      </c>
      <c r="F5">
        <v>19</v>
      </c>
      <c r="G5">
        <v>17</v>
      </c>
      <c r="H5" t="b">
        <v>0</v>
      </c>
      <c r="I5" s="1">
        <v>46007</v>
      </c>
      <c r="K5">
        <v>17</v>
      </c>
      <c r="L5" t="str">
        <v>Alice Mutton</v>
      </c>
      <c r="M5">
        <v>7</v>
      </c>
      <c r="N5" t="str">
        <v>Charcuterie</v>
      </c>
      <c r="O5" t="str">
        <v>20 - 1 kg tins</v>
      </c>
      <c r="P5">
        <v>39</v>
      </c>
      <c r="Q5">
        <v>0</v>
      </c>
      <c r="R5" t="b">
        <v>1</v>
      </c>
      <c r="S5" s="1">
        <v>45884</v>
      </c>
    </row>
    <row r="6" spans="1:29" x14ac:dyDescent="0.25">
      <c r="A6">
        <v>3</v>
      </c>
      <c r="B6" t="s">
        <v>13</v>
      </c>
      <c r="C6">
        <v>1</v>
      </c>
      <c r="D6" t="s">
        <v>198</v>
      </c>
      <c r="E6" t="s">
        <v>14</v>
      </c>
      <c r="F6">
        <v>10</v>
      </c>
      <c r="G6">
        <v>13</v>
      </c>
      <c r="H6" t="b">
        <v>0</v>
      </c>
      <c r="I6" s="1">
        <v>45752</v>
      </c>
      <c r="K6">
        <v>21</v>
      </c>
      <c r="L6" t="str">
        <v>Sir Rodney's Scones</v>
      </c>
      <c r="M6">
        <v>8</v>
      </c>
      <c r="N6" t="str">
        <v>Dessert</v>
      </c>
      <c r="O6" t="str">
        <v>24 pkgs. x 4 pieces</v>
      </c>
      <c r="P6">
        <v>10</v>
      </c>
      <c r="Q6">
        <v>3</v>
      </c>
      <c r="R6" t="b">
        <v>0</v>
      </c>
      <c r="S6" s="1">
        <v>45844</v>
      </c>
    </row>
    <row r="7" spans="1:29" x14ac:dyDescent="0.25">
      <c r="A7">
        <v>4</v>
      </c>
      <c r="B7" t="s">
        <v>15</v>
      </c>
      <c r="C7">
        <v>2</v>
      </c>
      <c r="D7" t="s">
        <v>198</v>
      </c>
      <c r="E7" t="s">
        <v>16</v>
      </c>
      <c r="F7">
        <v>22</v>
      </c>
      <c r="G7">
        <v>53</v>
      </c>
      <c r="H7" t="b">
        <v>0</v>
      </c>
      <c r="I7" s="1">
        <v>45659</v>
      </c>
      <c r="K7">
        <v>29</v>
      </c>
      <c r="L7" t="str">
        <v>Thüringer Rostbratwurst</v>
      </c>
      <c r="M7">
        <v>12</v>
      </c>
      <c r="N7" t="str">
        <v>Charcuterie</v>
      </c>
      <c r="O7" t="str">
        <v>50 bags x 30 sausgs.</v>
      </c>
      <c r="P7">
        <v>123.79</v>
      </c>
      <c r="Q7">
        <v>0</v>
      </c>
      <c r="R7" t="b">
        <v>1</v>
      </c>
      <c r="S7" s="1">
        <v>45943</v>
      </c>
    </row>
    <row r="8" spans="1:29" x14ac:dyDescent="0.25">
      <c r="A8">
        <v>5</v>
      </c>
      <c r="B8" t="s">
        <v>17</v>
      </c>
      <c r="C8">
        <v>2</v>
      </c>
      <c r="D8" t="s">
        <v>198</v>
      </c>
      <c r="E8" t="s">
        <v>18</v>
      </c>
      <c r="F8">
        <v>21.35</v>
      </c>
      <c r="G8">
        <v>0</v>
      </c>
      <c r="H8" t="b">
        <v>1</v>
      </c>
      <c r="I8" s="1">
        <v>46002</v>
      </c>
      <c r="K8">
        <v>31</v>
      </c>
      <c r="L8" t="str">
        <v>Gorgonzola Telino</v>
      </c>
      <c r="M8">
        <v>14</v>
      </c>
      <c r="N8" t="str">
        <v>Fromage</v>
      </c>
      <c r="O8" t="str">
        <v>12 - 100 g pkgs</v>
      </c>
      <c r="P8">
        <v>12.5</v>
      </c>
      <c r="Q8">
        <v>0</v>
      </c>
      <c r="R8" t="b">
        <v>0</v>
      </c>
      <c r="S8" s="1">
        <v>45791</v>
      </c>
    </row>
    <row r="9" spans="1:29" x14ac:dyDescent="0.25">
      <c r="A9">
        <v>6</v>
      </c>
      <c r="B9" t="s">
        <v>19</v>
      </c>
      <c r="C9">
        <v>3</v>
      </c>
      <c r="D9" t="s">
        <v>198</v>
      </c>
      <c r="E9" t="s">
        <v>20</v>
      </c>
      <c r="F9">
        <v>25</v>
      </c>
      <c r="G9">
        <v>120</v>
      </c>
      <c r="H9" t="b">
        <v>0</v>
      </c>
      <c r="I9" s="1">
        <v>45869</v>
      </c>
      <c r="K9">
        <v>53</v>
      </c>
      <c r="L9" t="str">
        <v>Perth Pasties</v>
      </c>
      <c r="M9">
        <v>24</v>
      </c>
      <c r="N9" t="str">
        <v>Charcuterie</v>
      </c>
      <c r="O9" t="str">
        <v>48 pieces</v>
      </c>
      <c r="P9">
        <v>32.799999999999997</v>
      </c>
      <c r="Q9">
        <v>0</v>
      </c>
      <c r="R9" t="b">
        <v>1</v>
      </c>
      <c r="S9" s="1">
        <v>45924</v>
      </c>
    </row>
    <row r="10" spans="1:29" x14ac:dyDescent="0.25">
      <c r="A10">
        <v>7</v>
      </c>
      <c r="B10" t="s">
        <v>21</v>
      </c>
      <c r="C10">
        <v>3</v>
      </c>
      <c r="D10" t="s">
        <v>204</v>
      </c>
      <c r="E10" t="s">
        <v>22</v>
      </c>
      <c r="F10">
        <v>30</v>
      </c>
      <c r="G10">
        <v>15</v>
      </c>
      <c r="H10" t="b">
        <v>0</v>
      </c>
      <c r="I10" s="1">
        <v>45995</v>
      </c>
    </row>
    <row r="11" spans="1:29" x14ac:dyDescent="0.25">
      <c r="A11">
        <v>8</v>
      </c>
      <c r="B11" t="s">
        <v>23</v>
      </c>
      <c r="C11">
        <v>3</v>
      </c>
      <c r="D11" t="s">
        <v>198</v>
      </c>
      <c r="E11" t="s">
        <v>24</v>
      </c>
      <c r="F11">
        <v>40</v>
      </c>
      <c r="G11">
        <v>6</v>
      </c>
      <c r="H11" t="b">
        <v>0</v>
      </c>
      <c r="I11" s="1">
        <v>45857</v>
      </c>
    </row>
    <row r="12" spans="1:29" ht="21" x14ac:dyDescent="0.35">
      <c r="A12">
        <v>9</v>
      </c>
      <c r="B12" t="s">
        <v>25</v>
      </c>
      <c r="C12">
        <v>4</v>
      </c>
      <c r="D12" t="s">
        <v>202</v>
      </c>
      <c r="E12" t="s">
        <v>26</v>
      </c>
      <c r="F12">
        <v>97</v>
      </c>
      <c r="G12">
        <v>29</v>
      </c>
      <c r="H12" t="b">
        <v>1</v>
      </c>
      <c r="I12" s="1">
        <v>45663</v>
      </c>
      <c r="K12" s="31" t="s">
        <v>206</v>
      </c>
      <c r="L12" s="31"/>
      <c r="M12" s="31"/>
      <c r="N12" s="31"/>
      <c r="O12" s="31"/>
      <c r="P12" s="31"/>
      <c r="Q12" s="31"/>
      <c r="R12" s="31"/>
      <c r="S12" s="31"/>
      <c r="U12" s="30" t="s">
        <v>208</v>
      </c>
      <c r="V12" s="30"/>
      <c r="W12" s="30"/>
      <c r="X12" s="30"/>
      <c r="Y12" s="30"/>
      <c r="Z12" s="30"/>
      <c r="AA12" s="30"/>
      <c r="AB12" s="30"/>
      <c r="AC12" s="30"/>
    </row>
    <row r="13" spans="1:29" ht="20.25" thickBot="1" x14ac:dyDescent="0.35">
      <c r="A13">
        <v>10</v>
      </c>
      <c r="B13" t="s">
        <v>27</v>
      </c>
      <c r="C13">
        <v>4</v>
      </c>
      <c r="D13" t="s">
        <v>203</v>
      </c>
      <c r="E13" t="s">
        <v>28</v>
      </c>
      <c r="F13">
        <v>31</v>
      </c>
      <c r="G13">
        <v>31</v>
      </c>
      <c r="H13" t="b">
        <v>0</v>
      </c>
      <c r="I13" s="1">
        <v>45757</v>
      </c>
      <c r="K13" s="28" t="str">
        <f ca="1">_xlfn.FORMULATEXT(K14)</f>
        <v>=TRIER(tbl_ex8;9;1)</v>
      </c>
      <c r="L13" s="28"/>
      <c r="M13" s="28"/>
      <c r="N13" s="28"/>
      <c r="O13" s="28"/>
      <c r="P13" s="28"/>
      <c r="Q13" s="28"/>
      <c r="R13" s="28"/>
      <c r="S13" s="28"/>
      <c r="U13" s="28" t="str">
        <f ca="1">_xlfn.FORMULATEXT(U14)</f>
        <v>=FILTRE(K14#;$Q$14:$Q$90&lt;=3;"Pas de résultats")</v>
      </c>
      <c r="V13" s="28"/>
      <c r="W13" s="28"/>
      <c r="X13" s="28"/>
      <c r="Y13" s="28"/>
      <c r="Z13" s="28"/>
      <c r="AA13" s="28"/>
      <c r="AB13" s="28"/>
    </row>
    <row r="14" spans="1:29" ht="15.75" thickTop="1" x14ac:dyDescent="0.25">
      <c r="A14">
        <v>11</v>
      </c>
      <c r="B14" t="s">
        <v>29</v>
      </c>
      <c r="C14">
        <v>5</v>
      </c>
      <c r="D14" t="s">
        <v>200</v>
      </c>
      <c r="E14" t="s">
        <v>30</v>
      </c>
      <c r="F14">
        <v>21</v>
      </c>
      <c r="G14">
        <v>22</v>
      </c>
      <c r="H14" t="b">
        <v>0</v>
      </c>
      <c r="I14" s="1">
        <v>45976</v>
      </c>
      <c r="K14" cm="1">
        <f t="array" ref="K14:S90">_xlfn._xlws.SORT(tbl_ex8[],9,1)</f>
        <v>4</v>
      </c>
      <c r="L14" t="str">
        <v>Chef Anton's Cajun Seasoning</v>
      </c>
      <c r="M14">
        <v>2</v>
      </c>
      <c r="N14" t="str">
        <v>Epices</v>
      </c>
      <c r="O14" t="str">
        <v>48 - 6 oz jars</v>
      </c>
      <c r="P14">
        <v>22</v>
      </c>
      <c r="Q14">
        <v>53</v>
      </c>
      <c r="R14" t="b">
        <v>0</v>
      </c>
      <c r="S14" s="1">
        <v>45659</v>
      </c>
      <c r="U14" cm="1">
        <f t="array" ref="U14:AC19">_xlfn._xlws.FILTER(_xlfn.ANCHORARRAY(K14),$Q$14:$Q$90&lt;=3,"Pas de résultats")</f>
        <v>31</v>
      </c>
      <c r="V14" t="str">
        <v>Gorgonzola Telino</v>
      </c>
      <c r="W14">
        <v>14</v>
      </c>
      <c r="X14" t="str">
        <v>Fromage</v>
      </c>
      <c r="Y14" t="str">
        <v>12 - 100 g pkgs</v>
      </c>
      <c r="Z14">
        <v>12.5</v>
      </c>
      <c r="AA14">
        <v>0</v>
      </c>
      <c r="AB14" t="b">
        <v>0</v>
      </c>
      <c r="AC14" s="1">
        <v>45791</v>
      </c>
    </row>
    <row r="15" spans="1:29" x14ac:dyDescent="0.25">
      <c r="A15">
        <v>12</v>
      </c>
      <c r="B15" t="s">
        <v>31</v>
      </c>
      <c r="C15">
        <v>5</v>
      </c>
      <c r="D15" t="s">
        <v>200</v>
      </c>
      <c r="E15" t="s">
        <v>32</v>
      </c>
      <c r="F15">
        <v>38</v>
      </c>
      <c r="G15">
        <v>86</v>
      </c>
      <c r="H15" t="b">
        <v>0</v>
      </c>
      <c r="I15" s="1">
        <v>45894</v>
      </c>
      <c r="K15">
        <v>9</v>
      </c>
      <c r="L15" t="str">
        <v>Mishi Kobe Niku</v>
      </c>
      <c r="M15">
        <v>4</v>
      </c>
      <c r="N15" t="str">
        <v>Charcuterie</v>
      </c>
      <c r="O15" t="str">
        <v>18 - 500 g pkgs.</v>
      </c>
      <c r="P15">
        <v>97</v>
      </c>
      <c r="Q15">
        <v>29</v>
      </c>
      <c r="R15" t="b">
        <v>1</v>
      </c>
      <c r="S15" s="1">
        <v>45663</v>
      </c>
      <c r="U15">
        <v>21</v>
      </c>
      <c r="V15" t="str">
        <v>Sir Rodney's Scones</v>
      </c>
      <c r="W15">
        <v>8</v>
      </c>
      <c r="X15" t="str">
        <v>Dessert</v>
      </c>
      <c r="Y15" t="str">
        <v>24 pkgs. x 4 pieces</v>
      </c>
      <c r="Z15">
        <v>10</v>
      </c>
      <c r="AA15">
        <v>3</v>
      </c>
      <c r="AB15" t="b">
        <v>0</v>
      </c>
      <c r="AC15" s="1">
        <v>45844</v>
      </c>
    </row>
    <row r="16" spans="1:29" x14ac:dyDescent="0.25">
      <c r="A16">
        <v>13</v>
      </c>
      <c r="B16" t="s">
        <v>33</v>
      </c>
      <c r="C16">
        <v>6</v>
      </c>
      <c r="D16" t="s">
        <v>203</v>
      </c>
      <c r="E16" t="s">
        <v>34</v>
      </c>
      <c r="F16">
        <v>6</v>
      </c>
      <c r="G16">
        <v>24</v>
      </c>
      <c r="H16" t="b">
        <v>0</v>
      </c>
      <c r="I16" s="1">
        <v>45936</v>
      </c>
      <c r="K16">
        <v>18</v>
      </c>
      <c r="L16" t="str">
        <v>Carnarvon Tigers</v>
      </c>
      <c r="M16">
        <v>7</v>
      </c>
      <c r="N16" t="str">
        <v>Exclusif</v>
      </c>
      <c r="O16" t="str">
        <v>16 kg pkg.</v>
      </c>
      <c r="P16">
        <v>62.5</v>
      </c>
      <c r="Q16">
        <v>42</v>
      </c>
      <c r="R16" t="b">
        <v>0</v>
      </c>
      <c r="S16" s="1">
        <v>45679</v>
      </c>
      <c r="U16">
        <v>17</v>
      </c>
      <c r="V16" t="str">
        <v>Alice Mutton</v>
      </c>
      <c r="W16">
        <v>7</v>
      </c>
      <c r="X16" t="str">
        <v>Charcuterie</v>
      </c>
      <c r="Y16" t="str">
        <v>20 - 1 kg tins</v>
      </c>
      <c r="Z16">
        <v>39</v>
      </c>
      <c r="AA16">
        <v>0</v>
      </c>
      <c r="AB16" t="b">
        <v>1</v>
      </c>
      <c r="AC16" s="1">
        <v>45884</v>
      </c>
    </row>
    <row r="17" spans="1:29" x14ac:dyDescent="0.25">
      <c r="A17">
        <v>14</v>
      </c>
      <c r="B17" t="s">
        <v>35</v>
      </c>
      <c r="C17">
        <v>6</v>
      </c>
      <c r="D17" t="s">
        <v>204</v>
      </c>
      <c r="E17" t="s">
        <v>36</v>
      </c>
      <c r="F17">
        <v>23.25</v>
      </c>
      <c r="G17">
        <v>35</v>
      </c>
      <c r="H17" t="b">
        <v>0</v>
      </c>
      <c r="I17" s="1">
        <v>45994</v>
      </c>
      <c r="K17">
        <v>40</v>
      </c>
      <c r="L17" t="str">
        <v>Boston Crab Meat</v>
      </c>
      <c r="M17">
        <v>19</v>
      </c>
      <c r="N17" t="str">
        <v>Exclusif</v>
      </c>
      <c r="O17" t="str">
        <v>24 - 4 oz tins</v>
      </c>
      <c r="P17">
        <v>18.399999999999999</v>
      </c>
      <c r="Q17">
        <v>123</v>
      </c>
      <c r="R17" t="b">
        <v>0</v>
      </c>
      <c r="S17" s="1">
        <v>45681</v>
      </c>
      <c r="U17">
        <v>53</v>
      </c>
      <c r="V17" t="str">
        <v>Perth Pasties</v>
      </c>
      <c r="W17">
        <v>24</v>
      </c>
      <c r="X17" t="str">
        <v>Charcuterie</v>
      </c>
      <c r="Y17" t="str">
        <v>48 pieces</v>
      </c>
      <c r="Z17">
        <v>32.799999999999997</v>
      </c>
      <c r="AA17">
        <v>0</v>
      </c>
      <c r="AB17" t="b">
        <v>1</v>
      </c>
      <c r="AC17" s="1">
        <v>45924</v>
      </c>
    </row>
    <row r="18" spans="1:29" x14ac:dyDescent="0.25">
      <c r="A18">
        <v>15</v>
      </c>
      <c r="B18" t="s">
        <v>37</v>
      </c>
      <c r="C18">
        <v>6</v>
      </c>
      <c r="D18" t="s">
        <v>198</v>
      </c>
      <c r="E18" t="s">
        <v>38</v>
      </c>
      <c r="F18">
        <v>15.5</v>
      </c>
      <c r="G18">
        <v>39</v>
      </c>
      <c r="H18" t="b">
        <v>0</v>
      </c>
      <c r="I18" s="1">
        <v>45910</v>
      </c>
      <c r="K18">
        <v>73</v>
      </c>
      <c r="L18" t="str">
        <v>Röd Kaviar</v>
      </c>
      <c r="M18">
        <v>17</v>
      </c>
      <c r="N18" t="str">
        <v>Exclusif</v>
      </c>
      <c r="O18" t="str">
        <v>24 - 150 g jars</v>
      </c>
      <c r="P18">
        <v>15</v>
      </c>
      <c r="Q18">
        <v>101</v>
      </c>
      <c r="R18" t="b">
        <v>0</v>
      </c>
      <c r="S18" s="1">
        <v>45683</v>
      </c>
      <c r="U18">
        <v>29</v>
      </c>
      <c r="V18" t="str">
        <v>Thüringer Rostbratwurst</v>
      </c>
      <c r="W18">
        <v>12</v>
      </c>
      <c r="X18" t="str">
        <v>Charcuterie</v>
      </c>
      <c r="Y18" t="str">
        <v>50 bags x 30 sausgs.</v>
      </c>
      <c r="Z18">
        <v>123.79</v>
      </c>
      <c r="AA18">
        <v>0</v>
      </c>
      <c r="AB18" t="b">
        <v>1</v>
      </c>
      <c r="AC18" s="1">
        <v>45943</v>
      </c>
    </row>
    <row r="19" spans="1:29" x14ac:dyDescent="0.25">
      <c r="A19">
        <v>16</v>
      </c>
      <c r="B19" t="s">
        <v>39</v>
      </c>
      <c r="C19">
        <v>7</v>
      </c>
      <c r="D19" t="s">
        <v>199</v>
      </c>
      <c r="E19" t="s">
        <v>40</v>
      </c>
      <c r="F19">
        <v>17.45</v>
      </c>
      <c r="G19">
        <v>29</v>
      </c>
      <c r="H19" t="b">
        <v>0</v>
      </c>
      <c r="I19" s="1">
        <v>45722</v>
      </c>
      <c r="K19">
        <v>25</v>
      </c>
      <c r="L19" t="str">
        <v>NuNuCa Nuß-Nougat-Creme</v>
      </c>
      <c r="M19">
        <v>11</v>
      </c>
      <c r="N19" t="str">
        <v>Dessert</v>
      </c>
      <c r="O19" t="str">
        <v>20 - 450 g glasses</v>
      </c>
      <c r="P19">
        <v>14</v>
      </c>
      <c r="Q19">
        <v>76</v>
      </c>
      <c r="R19" t="b">
        <v>0</v>
      </c>
      <c r="S19" s="1">
        <v>45692</v>
      </c>
      <c r="U19">
        <v>5</v>
      </c>
      <c r="V19" t="str">
        <v>Chef Anton's Gumbo Mix</v>
      </c>
      <c r="W19">
        <v>2</v>
      </c>
      <c r="X19" t="str">
        <v>Epices</v>
      </c>
      <c r="Y19" t="str">
        <v>36 boxes</v>
      </c>
      <c r="Z19">
        <v>21.35</v>
      </c>
      <c r="AA19">
        <v>0</v>
      </c>
      <c r="AB19" t="b">
        <v>1</v>
      </c>
      <c r="AC19" s="1">
        <v>46002</v>
      </c>
    </row>
    <row r="20" spans="1:29" x14ac:dyDescent="0.25">
      <c r="A20">
        <v>17</v>
      </c>
      <c r="B20" t="s">
        <v>41</v>
      </c>
      <c r="C20">
        <v>7</v>
      </c>
      <c r="D20" t="s">
        <v>202</v>
      </c>
      <c r="E20" t="s">
        <v>42</v>
      </c>
      <c r="F20">
        <v>39</v>
      </c>
      <c r="G20">
        <v>0</v>
      </c>
      <c r="H20" t="b">
        <v>1</v>
      </c>
      <c r="I20" s="1">
        <v>45884</v>
      </c>
      <c r="K20">
        <v>68</v>
      </c>
      <c r="L20" t="str">
        <v>Scottish Longbreads</v>
      </c>
      <c r="M20">
        <v>8</v>
      </c>
      <c r="N20" t="str">
        <v>Dessert</v>
      </c>
      <c r="O20" t="str">
        <v>10 boxes x 8 pieces</v>
      </c>
      <c r="P20">
        <v>12.5</v>
      </c>
      <c r="Q20">
        <v>6</v>
      </c>
      <c r="R20" t="b">
        <v>0</v>
      </c>
      <c r="S20" s="1">
        <v>45695</v>
      </c>
    </row>
    <row r="21" spans="1:29" x14ac:dyDescent="0.25">
      <c r="A21">
        <v>18</v>
      </c>
      <c r="B21" t="s">
        <v>43</v>
      </c>
      <c r="C21">
        <v>7</v>
      </c>
      <c r="D21" t="s">
        <v>203</v>
      </c>
      <c r="E21" t="s">
        <v>44</v>
      </c>
      <c r="F21">
        <v>62.5</v>
      </c>
      <c r="G21">
        <v>42</v>
      </c>
      <c r="H21" t="b">
        <v>0</v>
      </c>
      <c r="I21" s="1">
        <v>45679</v>
      </c>
      <c r="K21">
        <v>76</v>
      </c>
      <c r="L21" t="str">
        <v>Lakkalikööri</v>
      </c>
      <c r="M21">
        <v>23</v>
      </c>
      <c r="N21" t="str">
        <v>Boisson</v>
      </c>
      <c r="O21" t="str">
        <v>500 ml</v>
      </c>
      <c r="P21">
        <v>18</v>
      </c>
      <c r="Q21">
        <v>57</v>
      </c>
      <c r="R21" t="b">
        <v>0</v>
      </c>
      <c r="S21" s="1">
        <v>45704</v>
      </c>
    </row>
    <row r="22" spans="1:29" x14ac:dyDescent="0.25">
      <c r="A22">
        <v>19</v>
      </c>
      <c r="B22" t="s">
        <v>45</v>
      </c>
      <c r="C22">
        <v>8</v>
      </c>
      <c r="D22" t="s">
        <v>199</v>
      </c>
      <c r="E22" t="s">
        <v>46</v>
      </c>
      <c r="F22">
        <v>9.1999999999999993</v>
      </c>
      <c r="G22">
        <v>25</v>
      </c>
      <c r="H22" t="b">
        <v>0</v>
      </c>
      <c r="I22" s="1">
        <v>45739</v>
      </c>
      <c r="K22">
        <v>65</v>
      </c>
      <c r="L22" t="str">
        <v>Louisiana Fiery Hot Pepper Sauce</v>
      </c>
      <c r="M22">
        <v>2</v>
      </c>
      <c r="N22" t="str">
        <v>Epices</v>
      </c>
      <c r="O22" t="str">
        <v>32 - 8 oz bottles</v>
      </c>
      <c r="P22">
        <v>21.05</v>
      </c>
      <c r="Q22">
        <v>76</v>
      </c>
      <c r="R22" t="b">
        <v>0</v>
      </c>
      <c r="S22" s="1">
        <v>45715</v>
      </c>
    </row>
    <row r="23" spans="1:29" x14ac:dyDescent="0.25">
      <c r="A23">
        <v>20</v>
      </c>
      <c r="B23" t="s">
        <v>47</v>
      </c>
      <c r="C23">
        <v>8</v>
      </c>
      <c r="D23" t="s">
        <v>199</v>
      </c>
      <c r="E23" t="s">
        <v>48</v>
      </c>
      <c r="F23">
        <v>81</v>
      </c>
      <c r="G23">
        <v>40</v>
      </c>
      <c r="H23" t="b">
        <v>0</v>
      </c>
      <c r="I23" s="1">
        <v>45914</v>
      </c>
      <c r="K23">
        <v>67</v>
      </c>
      <c r="L23" t="str">
        <v>Laughing Lumberjack Lager</v>
      </c>
      <c r="M23">
        <v>16</v>
      </c>
      <c r="N23" t="str">
        <v>Boisson</v>
      </c>
      <c r="O23" t="str">
        <v>24 - 12 oz bottles</v>
      </c>
      <c r="P23">
        <v>14</v>
      </c>
      <c r="Q23">
        <v>52</v>
      </c>
      <c r="R23" t="b">
        <v>0</v>
      </c>
      <c r="S23" s="1">
        <v>45715</v>
      </c>
    </row>
    <row r="24" spans="1:29" x14ac:dyDescent="0.25">
      <c r="A24">
        <v>21</v>
      </c>
      <c r="B24" t="s">
        <v>49</v>
      </c>
      <c r="C24">
        <v>8</v>
      </c>
      <c r="D24" t="s">
        <v>199</v>
      </c>
      <c r="E24" t="s">
        <v>50</v>
      </c>
      <c r="F24">
        <v>10</v>
      </c>
      <c r="G24">
        <v>3</v>
      </c>
      <c r="H24" t="b">
        <v>0</v>
      </c>
      <c r="I24" s="1">
        <v>45844</v>
      </c>
      <c r="K24">
        <v>72</v>
      </c>
      <c r="L24" t="str">
        <v>Mozzarella di Giovanni</v>
      </c>
      <c r="M24">
        <v>14</v>
      </c>
      <c r="N24" t="str">
        <v>Fromage</v>
      </c>
      <c r="O24" t="str">
        <v>24 - 200 g pkgs.</v>
      </c>
      <c r="P24">
        <v>34.799999999999997</v>
      </c>
      <c r="Q24">
        <v>14</v>
      </c>
      <c r="R24" t="b">
        <v>0</v>
      </c>
      <c r="S24" s="1">
        <v>45717</v>
      </c>
    </row>
    <row r="25" spans="1:29" x14ac:dyDescent="0.25">
      <c r="A25">
        <v>22</v>
      </c>
      <c r="B25" t="s">
        <v>51</v>
      </c>
      <c r="C25">
        <v>9</v>
      </c>
      <c r="D25" t="s">
        <v>201</v>
      </c>
      <c r="E25" t="s">
        <v>52</v>
      </c>
      <c r="F25">
        <v>21</v>
      </c>
      <c r="G25">
        <v>104</v>
      </c>
      <c r="H25" t="b">
        <v>0</v>
      </c>
      <c r="I25" s="1">
        <v>45724</v>
      </c>
      <c r="K25">
        <v>16</v>
      </c>
      <c r="L25" t="str">
        <v>Pavlova</v>
      </c>
      <c r="M25">
        <v>7</v>
      </c>
      <c r="N25" t="str">
        <v>Dessert</v>
      </c>
      <c r="O25" t="str">
        <v>32 - 500 g boxes</v>
      </c>
      <c r="P25">
        <v>17.45</v>
      </c>
      <c r="Q25">
        <v>29</v>
      </c>
      <c r="R25" t="b">
        <v>0</v>
      </c>
      <c r="S25" s="1">
        <v>45722</v>
      </c>
    </row>
    <row r="26" spans="1:29" x14ac:dyDescent="0.25">
      <c r="A26">
        <v>23</v>
      </c>
      <c r="B26" t="s">
        <v>53</v>
      </c>
      <c r="C26">
        <v>9</v>
      </c>
      <c r="D26" t="s">
        <v>201</v>
      </c>
      <c r="E26" t="s">
        <v>54</v>
      </c>
      <c r="F26">
        <v>9</v>
      </c>
      <c r="G26">
        <v>61</v>
      </c>
      <c r="H26" t="b">
        <v>0</v>
      </c>
      <c r="I26" s="1">
        <v>46011</v>
      </c>
      <c r="K26">
        <v>30</v>
      </c>
      <c r="L26" t="str">
        <v>Nord-Ost Matjeshering</v>
      </c>
      <c r="M26">
        <v>13</v>
      </c>
      <c r="N26" t="str">
        <v>Exclusif</v>
      </c>
      <c r="O26" t="str">
        <v>10 - 200 g glasses</v>
      </c>
      <c r="P26">
        <v>25.89</v>
      </c>
      <c r="Q26">
        <v>10</v>
      </c>
      <c r="R26" t="b">
        <v>0</v>
      </c>
      <c r="S26" s="1">
        <v>45723</v>
      </c>
    </row>
    <row r="27" spans="1:29" x14ac:dyDescent="0.25">
      <c r="A27">
        <v>24</v>
      </c>
      <c r="B27" t="s">
        <v>55</v>
      </c>
      <c r="C27">
        <v>10</v>
      </c>
      <c r="D27" t="s">
        <v>197</v>
      </c>
      <c r="E27" t="s">
        <v>56</v>
      </c>
      <c r="F27">
        <v>4.5</v>
      </c>
      <c r="G27">
        <v>20</v>
      </c>
      <c r="H27" t="b">
        <v>1</v>
      </c>
      <c r="I27" s="1">
        <v>46018</v>
      </c>
      <c r="K27">
        <v>34</v>
      </c>
      <c r="L27" t="str">
        <v>Sasquatch Ale</v>
      </c>
      <c r="M27">
        <v>16</v>
      </c>
      <c r="N27" t="str">
        <v>Boisson</v>
      </c>
      <c r="O27" t="str">
        <v>24 - 12 oz bottles</v>
      </c>
      <c r="P27">
        <v>14</v>
      </c>
      <c r="Q27">
        <v>111</v>
      </c>
      <c r="R27" t="b">
        <v>0</v>
      </c>
      <c r="S27" s="1">
        <v>45723</v>
      </c>
    </row>
    <row r="28" spans="1:29" x14ac:dyDescent="0.25">
      <c r="A28">
        <v>25</v>
      </c>
      <c r="B28" t="s">
        <v>57</v>
      </c>
      <c r="C28">
        <v>11</v>
      </c>
      <c r="D28" t="s">
        <v>199</v>
      </c>
      <c r="E28" t="s">
        <v>58</v>
      </c>
      <c r="F28">
        <v>14</v>
      </c>
      <c r="G28">
        <v>76</v>
      </c>
      <c r="H28" t="b">
        <v>0</v>
      </c>
      <c r="I28" s="1">
        <v>45692</v>
      </c>
      <c r="K28">
        <v>22</v>
      </c>
      <c r="L28" t="str">
        <v>Gustaf's Knäckebröd</v>
      </c>
      <c r="M28">
        <v>9</v>
      </c>
      <c r="N28" t="str">
        <v>Pâtes</v>
      </c>
      <c r="O28" t="str">
        <v>24 - 500 g pkgs.</v>
      </c>
      <c r="P28">
        <v>21</v>
      </c>
      <c r="Q28">
        <v>104</v>
      </c>
      <c r="R28" t="b">
        <v>0</v>
      </c>
      <c r="S28" s="1">
        <v>45724</v>
      </c>
    </row>
    <row r="29" spans="1:29" x14ac:dyDescent="0.25">
      <c r="A29">
        <v>26</v>
      </c>
      <c r="B29" t="s">
        <v>59</v>
      </c>
      <c r="C29">
        <v>11</v>
      </c>
      <c r="D29" t="s">
        <v>199</v>
      </c>
      <c r="E29" t="s">
        <v>60</v>
      </c>
      <c r="F29">
        <v>31.23</v>
      </c>
      <c r="G29">
        <v>15</v>
      </c>
      <c r="H29" t="b">
        <v>0</v>
      </c>
      <c r="I29" s="1">
        <v>45911</v>
      </c>
      <c r="K29">
        <v>52</v>
      </c>
      <c r="L29" t="str">
        <v>Filo Mix</v>
      </c>
      <c r="M29">
        <v>24</v>
      </c>
      <c r="N29" t="str">
        <v>Pâtes</v>
      </c>
      <c r="O29" t="str">
        <v>16 - 2 kg boxes</v>
      </c>
      <c r="P29">
        <v>7</v>
      </c>
      <c r="Q29">
        <v>38</v>
      </c>
      <c r="R29" t="b">
        <v>0</v>
      </c>
      <c r="S29" s="1">
        <v>45730</v>
      </c>
    </row>
    <row r="30" spans="1:29" x14ac:dyDescent="0.25">
      <c r="A30">
        <v>27</v>
      </c>
      <c r="B30" t="s">
        <v>61</v>
      </c>
      <c r="C30">
        <v>11</v>
      </c>
      <c r="D30" t="s">
        <v>199</v>
      </c>
      <c r="E30" t="s">
        <v>62</v>
      </c>
      <c r="F30">
        <v>43.9</v>
      </c>
      <c r="G30">
        <v>49</v>
      </c>
      <c r="H30" t="b">
        <v>0</v>
      </c>
      <c r="I30" s="1">
        <v>45784</v>
      </c>
      <c r="K30">
        <v>28</v>
      </c>
      <c r="L30" t="str">
        <v>Rössle Sauerkraut</v>
      </c>
      <c r="M30">
        <v>12</v>
      </c>
      <c r="N30" t="str">
        <v>Divers</v>
      </c>
      <c r="O30" t="str">
        <v>25 - 825 g cans</v>
      </c>
      <c r="P30">
        <v>45.6</v>
      </c>
      <c r="Q30">
        <v>26</v>
      </c>
      <c r="R30" t="b">
        <v>1</v>
      </c>
      <c r="S30" s="1">
        <v>45731</v>
      </c>
    </row>
    <row r="31" spans="1:29" x14ac:dyDescent="0.25">
      <c r="A31">
        <v>28</v>
      </c>
      <c r="B31" t="s">
        <v>63</v>
      </c>
      <c r="C31">
        <v>12</v>
      </c>
      <c r="D31" t="s">
        <v>204</v>
      </c>
      <c r="E31" t="s">
        <v>64</v>
      </c>
      <c r="F31">
        <v>45.6</v>
      </c>
      <c r="G31">
        <v>26</v>
      </c>
      <c r="H31" t="b">
        <v>1</v>
      </c>
      <c r="I31" s="1">
        <v>45731</v>
      </c>
      <c r="K31">
        <v>45</v>
      </c>
      <c r="L31" t="str">
        <v>Rogede sild</v>
      </c>
      <c r="M31">
        <v>21</v>
      </c>
      <c r="N31" t="str">
        <v>Exclusif</v>
      </c>
      <c r="O31" t="str">
        <v>1k pkg.</v>
      </c>
      <c r="P31">
        <v>9.5</v>
      </c>
      <c r="Q31">
        <v>5</v>
      </c>
      <c r="R31" t="b">
        <v>0</v>
      </c>
      <c r="S31" s="1">
        <v>45732</v>
      </c>
    </row>
    <row r="32" spans="1:29" x14ac:dyDescent="0.25">
      <c r="A32">
        <v>29</v>
      </c>
      <c r="B32" t="s">
        <v>65</v>
      </c>
      <c r="C32">
        <v>12</v>
      </c>
      <c r="D32" t="s">
        <v>202</v>
      </c>
      <c r="E32" t="s">
        <v>66</v>
      </c>
      <c r="F32">
        <v>123.79</v>
      </c>
      <c r="G32">
        <v>0</v>
      </c>
      <c r="H32" t="b">
        <v>1</v>
      </c>
      <c r="I32" s="1">
        <v>45943</v>
      </c>
      <c r="K32">
        <v>48</v>
      </c>
      <c r="L32" t="str">
        <v>Chocolade</v>
      </c>
      <c r="M32">
        <v>22</v>
      </c>
      <c r="N32" t="str">
        <v>Dessert</v>
      </c>
      <c r="O32" t="str">
        <v>10 pkgs.</v>
      </c>
      <c r="P32">
        <v>12.75</v>
      </c>
      <c r="Q32">
        <v>15</v>
      </c>
      <c r="R32" t="b">
        <v>0</v>
      </c>
      <c r="S32" s="1">
        <v>45737</v>
      </c>
    </row>
    <row r="33" spans="1:19" x14ac:dyDescent="0.25">
      <c r="A33">
        <v>30</v>
      </c>
      <c r="B33" t="s">
        <v>67</v>
      </c>
      <c r="C33">
        <v>13</v>
      </c>
      <c r="D33" t="s">
        <v>203</v>
      </c>
      <c r="E33" t="s">
        <v>68</v>
      </c>
      <c r="F33">
        <v>25.89</v>
      </c>
      <c r="G33">
        <v>10</v>
      </c>
      <c r="H33" t="b">
        <v>0</v>
      </c>
      <c r="I33" s="1">
        <v>45723</v>
      </c>
      <c r="K33">
        <v>19</v>
      </c>
      <c r="L33" t="str">
        <v>Teatime Chocolate Biscuits</v>
      </c>
      <c r="M33">
        <v>8</v>
      </c>
      <c r="N33" t="str">
        <v>Dessert</v>
      </c>
      <c r="O33" t="str">
        <v>10 boxes x 12 pieces</v>
      </c>
      <c r="P33">
        <v>9.1999999999999993</v>
      </c>
      <c r="Q33">
        <v>25</v>
      </c>
      <c r="R33" t="b">
        <v>0</v>
      </c>
      <c r="S33" s="1">
        <v>45739</v>
      </c>
    </row>
    <row r="34" spans="1:19" x14ac:dyDescent="0.25">
      <c r="A34">
        <v>31</v>
      </c>
      <c r="B34" t="s">
        <v>69</v>
      </c>
      <c r="C34">
        <v>14</v>
      </c>
      <c r="D34" t="s">
        <v>200</v>
      </c>
      <c r="E34" t="s">
        <v>70</v>
      </c>
      <c r="F34">
        <v>12.5</v>
      </c>
      <c r="G34">
        <v>0</v>
      </c>
      <c r="H34" t="b">
        <v>0</v>
      </c>
      <c r="I34" s="1">
        <v>45791</v>
      </c>
      <c r="K34">
        <v>3</v>
      </c>
      <c r="L34" t="str">
        <v>Aniseed Syrup</v>
      </c>
      <c r="M34">
        <v>1</v>
      </c>
      <c r="N34" t="str">
        <v>Epices</v>
      </c>
      <c r="O34" t="str">
        <v>12 - 550 ml bottles</v>
      </c>
      <c r="P34">
        <v>10</v>
      </c>
      <c r="Q34">
        <v>13</v>
      </c>
      <c r="R34" t="b">
        <v>0</v>
      </c>
      <c r="S34" s="1">
        <v>45752</v>
      </c>
    </row>
    <row r="35" spans="1:19" x14ac:dyDescent="0.25">
      <c r="A35">
        <v>32</v>
      </c>
      <c r="B35" t="s">
        <v>71</v>
      </c>
      <c r="C35">
        <v>14</v>
      </c>
      <c r="D35" t="s">
        <v>200</v>
      </c>
      <c r="E35" t="s">
        <v>72</v>
      </c>
      <c r="F35">
        <v>32</v>
      </c>
      <c r="G35">
        <v>9</v>
      </c>
      <c r="H35" t="b">
        <v>0</v>
      </c>
      <c r="I35" s="1">
        <v>46011</v>
      </c>
      <c r="K35">
        <v>10</v>
      </c>
      <c r="L35" t="str">
        <v>Ikura</v>
      </c>
      <c r="M35">
        <v>4</v>
      </c>
      <c r="N35" t="str">
        <v>Exclusif</v>
      </c>
      <c r="O35" t="str">
        <v>12 - 200 ml jars</v>
      </c>
      <c r="P35">
        <v>31</v>
      </c>
      <c r="Q35">
        <v>31</v>
      </c>
      <c r="R35" t="b">
        <v>0</v>
      </c>
      <c r="S35" s="1">
        <v>45757</v>
      </c>
    </row>
    <row r="36" spans="1:19" x14ac:dyDescent="0.25">
      <c r="A36">
        <v>33</v>
      </c>
      <c r="B36" t="s">
        <v>73</v>
      </c>
      <c r="C36">
        <v>15</v>
      </c>
      <c r="D36" t="s">
        <v>200</v>
      </c>
      <c r="E36" t="s">
        <v>74</v>
      </c>
      <c r="F36">
        <v>2.5</v>
      </c>
      <c r="G36">
        <v>112</v>
      </c>
      <c r="H36" t="b">
        <v>0</v>
      </c>
      <c r="I36" s="1">
        <v>45804</v>
      </c>
      <c r="K36">
        <v>55</v>
      </c>
      <c r="L36" t="str">
        <v>Pâté chinois</v>
      </c>
      <c r="M36">
        <v>25</v>
      </c>
      <c r="N36" t="str">
        <v>Charcuterie</v>
      </c>
      <c r="O36" t="str">
        <v>24 boxes x 2 pies</v>
      </c>
      <c r="P36">
        <v>24</v>
      </c>
      <c r="Q36">
        <v>115</v>
      </c>
      <c r="R36" t="b">
        <v>0</v>
      </c>
      <c r="S36" s="1">
        <v>45764</v>
      </c>
    </row>
    <row r="37" spans="1:19" x14ac:dyDescent="0.25">
      <c r="A37">
        <v>34</v>
      </c>
      <c r="B37" t="s">
        <v>75</v>
      </c>
      <c r="C37">
        <v>16</v>
      </c>
      <c r="D37" t="s">
        <v>197</v>
      </c>
      <c r="E37" t="s">
        <v>12</v>
      </c>
      <c r="F37">
        <v>14</v>
      </c>
      <c r="G37">
        <v>111</v>
      </c>
      <c r="H37" t="b">
        <v>0</v>
      </c>
      <c r="I37" s="1">
        <v>45723</v>
      </c>
      <c r="K37">
        <v>49</v>
      </c>
      <c r="L37" t="str">
        <v>Maxilaku</v>
      </c>
      <c r="M37">
        <v>23</v>
      </c>
      <c r="N37" t="str">
        <v>Dessert</v>
      </c>
      <c r="O37" t="str">
        <v>24 - 50 g pkgs.</v>
      </c>
      <c r="P37">
        <v>20</v>
      </c>
      <c r="Q37">
        <v>10</v>
      </c>
      <c r="R37" t="b">
        <v>0</v>
      </c>
      <c r="S37" s="1">
        <v>45768</v>
      </c>
    </row>
    <row r="38" spans="1:19" x14ac:dyDescent="0.25">
      <c r="A38">
        <v>35</v>
      </c>
      <c r="B38" t="s">
        <v>76</v>
      </c>
      <c r="C38">
        <v>16</v>
      </c>
      <c r="D38" t="s">
        <v>197</v>
      </c>
      <c r="E38" t="s">
        <v>12</v>
      </c>
      <c r="F38">
        <v>18</v>
      </c>
      <c r="G38">
        <v>20</v>
      </c>
      <c r="H38" t="b">
        <v>0</v>
      </c>
      <c r="I38" s="1">
        <v>45973</v>
      </c>
      <c r="K38">
        <v>60</v>
      </c>
      <c r="L38" t="str">
        <v>Camembert Pierrot</v>
      </c>
      <c r="M38">
        <v>28</v>
      </c>
      <c r="N38" t="str">
        <v>Fromage</v>
      </c>
      <c r="O38" t="str">
        <v>15 - 300 g rounds</v>
      </c>
      <c r="P38">
        <v>34</v>
      </c>
      <c r="Q38">
        <v>19</v>
      </c>
      <c r="R38" t="b">
        <v>0</v>
      </c>
      <c r="S38" s="1">
        <v>45771</v>
      </c>
    </row>
    <row r="39" spans="1:19" x14ac:dyDescent="0.25">
      <c r="A39">
        <v>36</v>
      </c>
      <c r="B39" t="s">
        <v>77</v>
      </c>
      <c r="C39">
        <v>17</v>
      </c>
      <c r="D39" t="s">
        <v>203</v>
      </c>
      <c r="E39" t="s">
        <v>78</v>
      </c>
      <c r="F39">
        <v>19</v>
      </c>
      <c r="G39">
        <v>112</v>
      </c>
      <c r="H39" t="b">
        <v>0</v>
      </c>
      <c r="I39" s="1">
        <v>45990</v>
      </c>
      <c r="K39">
        <v>27</v>
      </c>
      <c r="L39" t="str">
        <v>Schoggi Schokolade</v>
      </c>
      <c r="M39">
        <v>11</v>
      </c>
      <c r="N39" t="str">
        <v>Dessert</v>
      </c>
      <c r="O39" t="str">
        <v>100 - 100 g pieces</v>
      </c>
      <c r="P39">
        <v>43.9</v>
      </c>
      <c r="Q39">
        <v>49</v>
      </c>
      <c r="R39" t="b">
        <v>0</v>
      </c>
      <c r="S39" s="1">
        <v>45784</v>
      </c>
    </row>
    <row r="40" spans="1:19" x14ac:dyDescent="0.25">
      <c r="A40">
        <v>37</v>
      </c>
      <c r="B40" t="s">
        <v>79</v>
      </c>
      <c r="C40">
        <v>17</v>
      </c>
      <c r="D40" t="s">
        <v>203</v>
      </c>
      <c r="E40" t="s">
        <v>80</v>
      </c>
      <c r="F40">
        <v>26</v>
      </c>
      <c r="G40">
        <v>11</v>
      </c>
      <c r="H40" t="b">
        <v>0</v>
      </c>
      <c r="I40" s="1">
        <v>45870</v>
      </c>
      <c r="K40">
        <v>31</v>
      </c>
      <c r="L40" t="str">
        <v>Gorgonzola Telino</v>
      </c>
      <c r="M40">
        <v>14</v>
      </c>
      <c r="N40" t="str">
        <v>Fromage</v>
      </c>
      <c r="O40" t="str">
        <v>12 - 100 g pkgs</v>
      </c>
      <c r="P40">
        <v>12.5</v>
      </c>
      <c r="Q40">
        <v>0</v>
      </c>
      <c r="R40" t="b">
        <v>0</v>
      </c>
      <c r="S40" s="1">
        <v>45791</v>
      </c>
    </row>
    <row r="41" spans="1:19" x14ac:dyDescent="0.25">
      <c r="A41">
        <v>38</v>
      </c>
      <c r="B41" t="s">
        <v>81</v>
      </c>
      <c r="C41">
        <v>18</v>
      </c>
      <c r="D41" t="s">
        <v>197</v>
      </c>
      <c r="E41" t="s">
        <v>82</v>
      </c>
      <c r="F41">
        <v>263.5</v>
      </c>
      <c r="G41">
        <v>17</v>
      </c>
      <c r="H41" t="b">
        <v>0</v>
      </c>
      <c r="I41" s="1">
        <v>45841</v>
      </c>
      <c r="K41">
        <v>43</v>
      </c>
      <c r="L41" t="str">
        <v>Ipoh Coffee</v>
      </c>
      <c r="M41">
        <v>20</v>
      </c>
      <c r="N41" t="str">
        <v>Boisson</v>
      </c>
      <c r="O41" t="str">
        <v>16 - 500 g tins</v>
      </c>
      <c r="P41">
        <v>46</v>
      </c>
      <c r="Q41">
        <v>17</v>
      </c>
      <c r="R41" t="b">
        <v>0</v>
      </c>
      <c r="S41" s="1">
        <v>45793</v>
      </c>
    </row>
    <row r="42" spans="1:19" x14ac:dyDescent="0.25">
      <c r="A42">
        <v>39</v>
      </c>
      <c r="B42" t="s">
        <v>83</v>
      </c>
      <c r="C42">
        <v>18</v>
      </c>
      <c r="D42" t="s">
        <v>197</v>
      </c>
      <c r="E42" t="s">
        <v>84</v>
      </c>
      <c r="F42">
        <v>18</v>
      </c>
      <c r="G42">
        <v>69</v>
      </c>
      <c r="H42" t="b">
        <v>0</v>
      </c>
      <c r="I42" s="1">
        <v>45860</v>
      </c>
      <c r="K42">
        <v>58</v>
      </c>
      <c r="L42" t="str">
        <v>Escargots de Bourgogne</v>
      </c>
      <c r="M42">
        <v>27</v>
      </c>
      <c r="N42" t="str">
        <v>Exclusif</v>
      </c>
      <c r="O42" t="str">
        <v>24 pieces</v>
      </c>
      <c r="P42">
        <v>13.25</v>
      </c>
      <c r="Q42">
        <v>62</v>
      </c>
      <c r="R42" t="b">
        <v>0</v>
      </c>
      <c r="S42" s="1">
        <v>45793</v>
      </c>
    </row>
    <row r="43" spans="1:19" x14ac:dyDescent="0.25">
      <c r="A43">
        <v>40</v>
      </c>
      <c r="B43" t="s">
        <v>85</v>
      </c>
      <c r="C43">
        <v>19</v>
      </c>
      <c r="D43" t="s">
        <v>203</v>
      </c>
      <c r="E43" t="s">
        <v>86</v>
      </c>
      <c r="F43">
        <v>18.399999999999999</v>
      </c>
      <c r="G43">
        <v>123</v>
      </c>
      <c r="H43" t="b">
        <v>0</v>
      </c>
      <c r="I43" s="1">
        <v>45681</v>
      </c>
      <c r="K43">
        <v>50</v>
      </c>
      <c r="L43" t="str">
        <v>Valkoinen suklaa</v>
      </c>
      <c r="M43">
        <v>23</v>
      </c>
      <c r="N43" t="str">
        <v>Dessert</v>
      </c>
      <c r="O43" t="str">
        <v>12 - 100 g bars</v>
      </c>
      <c r="P43">
        <v>16.25</v>
      </c>
      <c r="Q43">
        <v>65</v>
      </c>
      <c r="R43" t="b">
        <v>0</v>
      </c>
      <c r="S43" s="1">
        <v>45796</v>
      </c>
    </row>
    <row r="44" spans="1:19" x14ac:dyDescent="0.25">
      <c r="A44">
        <v>41</v>
      </c>
      <c r="B44" t="s">
        <v>87</v>
      </c>
      <c r="C44">
        <v>19</v>
      </c>
      <c r="D44" t="s">
        <v>203</v>
      </c>
      <c r="E44" t="s">
        <v>88</v>
      </c>
      <c r="F44">
        <v>9.65</v>
      </c>
      <c r="G44">
        <v>85</v>
      </c>
      <c r="H44" t="b">
        <v>0</v>
      </c>
      <c r="I44" s="1">
        <v>45856</v>
      </c>
      <c r="K44">
        <v>33</v>
      </c>
      <c r="L44" t="str">
        <v>Geitost</v>
      </c>
      <c r="M44">
        <v>15</v>
      </c>
      <c r="N44" t="str">
        <v>Fromage</v>
      </c>
      <c r="O44" t="str">
        <v>500 g</v>
      </c>
      <c r="P44">
        <v>2.5</v>
      </c>
      <c r="Q44">
        <v>112</v>
      </c>
      <c r="R44" t="b">
        <v>0</v>
      </c>
      <c r="S44" s="1">
        <v>45804</v>
      </c>
    </row>
    <row r="45" spans="1:19" x14ac:dyDescent="0.25">
      <c r="A45">
        <v>42</v>
      </c>
      <c r="B45" t="s">
        <v>89</v>
      </c>
      <c r="C45">
        <v>20</v>
      </c>
      <c r="D45" t="s">
        <v>201</v>
      </c>
      <c r="E45" t="s">
        <v>90</v>
      </c>
      <c r="F45">
        <v>14</v>
      </c>
      <c r="G45">
        <v>26</v>
      </c>
      <c r="H45" t="b">
        <v>1</v>
      </c>
      <c r="I45" s="1">
        <v>45974</v>
      </c>
      <c r="K45">
        <v>63</v>
      </c>
      <c r="L45" t="str">
        <v>Vegie-spread</v>
      </c>
      <c r="M45">
        <v>7</v>
      </c>
      <c r="N45" t="str">
        <v>Epices</v>
      </c>
      <c r="O45" t="str">
        <v>15 - 625 g jars</v>
      </c>
      <c r="P45">
        <v>43.9</v>
      </c>
      <c r="Q45">
        <v>24</v>
      </c>
      <c r="R45" t="b">
        <v>0</v>
      </c>
      <c r="S45" s="1">
        <v>45824</v>
      </c>
    </row>
    <row r="46" spans="1:19" x14ac:dyDescent="0.25">
      <c r="A46">
        <v>43</v>
      </c>
      <c r="B46" t="s">
        <v>91</v>
      </c>
      <c r="C46">
        <v>20</v>
      </c>
      <c r="D46" t="s">
        <v>197</v>
      </c>
      <c r="E46" t="s">
        <v>92</v>
      </c>
      <c r="F46">
        <v>46</v>
      </c>
      <c r="G46">
        <v>17</v>
      </c>
      <c r="H46" t="b">
        <v>0</v>
      </c>
      <c r="I46" s="1">
        <v>45793</v>
      </c>
      <c r="K46">
        <v>69</v>
      </c>
      <c r="L46" t="str">
        <v>Gudbrandsdalsost</v>
      </c>
      <c r="M46">
        <v>15</v>
      </c>
      <c r="N46" t="str">
        <v>Fromage</v>
      </c>
      <c r="O46" t="str">
        <v>10 kg pkg.</v>
      </c>
      <c r="P46">
        <v>36</v>
      </c>
      <c r="Q46">
        <v>26</v>
      </c>
      <c r="R46" t="b">
        <v>0</v>
      </c>
      <c r="S46" s="1">
        <v>45827</v>
      </c>
    </row>
    <row r="47" spans="1:19" x14ac:dyDescent="0.25">
      <c r="A47">
        <v>44</v>
      </c>
      <c r="B47" t="s">
        <v>93</v>
      </c>
      <c r="C47">
        <v>20</v>
      </c>
      <c r="D47" t="s">
        <v>198</v>
      </c>
      <c r="E47" t="s">
        <v>94</v>
      </c>
      <c r="F47">
        <v>19.45</v>
      </c>
      <c r="G47">
        <v>27</v>
      </c>
      <c r="H47" t="b">
        <v>0</v>
      </c>
      <c r="I47" s="1">
        <v>46010</v>
      </c>
      <c r="K47">
        <v>70</v>
      </c>
      <c r="L47" t="str">
        <v>Outback Lager</v>
      </c>
      <c r="M47">
        <v>7</v>
      </c>
      <c r="N47" t="str">
        <v>Boisson</v>
      </c>
      <c r="O47" t="str">
        <v>24 - 355 ml bottles</v>
      </c>
      <c r="P47">
        <v>15</v>
      </c>
      <c r="Q47">
        <v>15</v>
      </c>
      <c r="R47" t="b">
        <v>0</v>
      </c>
      <c r="S47" s="1">
        <v>45827</v>
      </c>
    </row>
    <row r="48" spans="1:19" x14ac:dyDescent="0.25">
      <c r="A48">
        <v>45</v>
      </c>
      <c r="B48" t="s">
        <v>95</v>
      </c>
      <c r="C48">
        <v>21</v>
      </c>
      <c r="D48" t="s">
        <v>203</v>
      </c>
      <c r="E48" t="s">
        <v>96</v>
      </c>
      <c r="F48">
        <v>9.5</v>
      </c>
      <c r="G48">
        <v>5</v>
      </c>
      <c r="H48" t="b">
        <v>0</v>
      </c>
      <c r="I48" s="1">
        <v>45732</v>
      </c>
      <c r="K48">
        <v>38</v>
      </c>
      <c r="L48" t="str">
        <v>Côte de Blaye</v>
      </c>
      <c r="M48">
        <v>18</v>
      </c>
      <c r="N48" t="str">
        <v>Boisson</v>
      </c>
      <c r="O48" t="str">
        <v>12 - 75 cl bottles</v>
      </c>
      <c r="P48">
        <v>263.5</v>
      </c>
      <c r="Q48">
        <v>17</v>
      </c>
      <c r="R48" t="b">
        <v>0</v>
      </c>
      <c r="S48" s="1">
        <v>45841</v>
      </c>
    </row>
    <row r="49" spans="1:19" x14ac:dyDescent="0.25">
      <c r="A49">
        <v>46</v>
      </c>
      <c r="B49" t="s">
        <v>97</v>
      </c>
      <c r="C49">
        <v>21</v>
      </c>
      <c r="D49" t="s">
        <v>203</v>
      </c>
      <c r="E49" t="s">
        <v>98</v>
      </c>
      <c r="F49">
        <v>12</v>
      </c>
      <c r="G49">
        <v>95</v>
      </c>
      <c r="H49" t="b">
        <v>0</v>
      </c>
      <c r="I49" s="1">
        <v>45955</v>
      </c>
      <c r="K49">
        <v>21</v>
      </c>
      <c r="L49" t="str">
        <v>Sir Rodney's Scones</v>
      </c>
      <c r="M49">
        <v>8</v>
      </c>
      <c r="N49" t="str">
        <v>Dessert</v>
      </c>
      <c r="O49" t="str">
        <v>24 pkgs. x 4 pieces</v>
      </c>
      <c r="P49">
        <v>10</v>
      </c>
      <c r="Q49">
        <v>3</v>
      </c>
      <c r="R49" t="b">
        <v>0</v>
      </c>
      <c r="S49" s="1">
        <v>45844</v>
      </c>
    </row>
    <row r="50" spans="1:19" x14ac:dyDescent="0.25">
      <c r="A50">
        <v>47</v>
      </c>
      <c r="B50" t="s">
        <v>99</v>
      </c>
      <c r="C50">
        <v>22</v>
      </c>
      <c r="D50" t="s">
        <v>199</v>
      </c>
      <c r="E50" t="s">
        <v>100</v>
      </c>
      <c r="F50">
        <v>9.5</v>
      </c>
      <c r="G50">
        <v>36</v>
      </c>
      <c r="H50" t="b">
        <v>0</v>
      </c>
      <c r="I50" s="1">
        <v>45985</v>
      </c>
      <c r="K50">
        <v>62</v>
      </c>
      <c r="L50" t="str">
        <v>Tarte au sucre</v>
      </c>
      <c r="M50">
        <v>29</v>
      </c>
      <c r="N50" t="str">
        <v>Dessert</v>
      </c>
      <c r="O50" t="str">
        <v>48 pies</v>
      </c>
      <c r="P50">
        <v>49.3</v>
      </c>
      <c r="Q50">
        <v>17</v>
      </c>
      <c r="R50" t="b">
        <v>0</v>
      </c>
      <c r="S50" s="1">
        <v>45846</v>
      </c>
    </row>
    <row r="51" spans="1:19" x14ac:dyDescent="0.25">
      <c r="A51">
        <v>48</v>
      </c>
      <c r="B51" t="s">
        <v>101</v>
      </c>
      <c r="C51">
        <v>22</v>
      </c>
      <c r="D51" t="s">
        <v>199</v>
      </c>
      <c r="E51" t="s">
        <v>102</v>
      </c>
      <c r="F51">
        <v>12.75</v>
      </c>
      <c r="G51">
        <v>15</v>
      </c>
      <c r="H51" t="b">
        <v>0</v>
      </c>
      <c r="I51" s="1">
        <v>45737</v>
      </c>
      <c r="K51">
        <v>41</v>
      </c>
      <c r="L51" t="str">
        <v>Jack's New England Clam Chowder</v>
      </c>
      <c r="M51">
        <v>19</v>
      </c>
      <c r="N51" t="str">
        <v>Exclusif</v>
      </c>
      <c r="O51" t="str">
        <v>12 - 12 oz cans</v>
      </c>
      <c r="P51">
        <v>9.65</v>
      </c>
      <c r="Q51">
        <v>85</v>
      </c>
      <c r="R51" t="b">
        <v>0</v>
      </c>
      <c r="S51" s="1">
        <v>45856</v>
      </c>
    </row>
    <row r="52" spans="1:19" x14ac:dyDescent="0.25">
      <c r="A52">
        <v>49</v>
      </c>
      <c r="B52" t="s">
        <v>103</v>
      </c>
      <c r="C52">
        <v>23</v>
      </c>
      <c r="D52" t="s">
        <v>199</v>
      </c>
      <c r="E52" t="s">
        <v>104</v>
      </c>
      <c r="F52">
        <v>20</v>
      </c>
      <c r="G52">
        <v>10</v>
      </c>
      <c r="H52" t="b">
        <v>0</v>
      </c>
      <c r="I52" s="1">
        <v>45768</v>
      </c>
      <c r="K52">
        <v>8</v>
      </c>
      <c r="L52" t="str">
        <v>Northwoods Cranberry Sauce</v>
      </c>
      <c r="M52">
        <v>3</v>
      </c>
      <c r="N52" t="str">
        <v>Epices</v>
      </c>
      <c r="O52" t="str">
        <v>12 - 12 oz jars</v>
      </c>
      <c r="P52">
        <v>40</v>
      </c>
      <c r="Q52">
        <v>6</v>
      </c>
      <c r="R52" t="b">
        <v>0</v>
      </c>
      <c r="S52" s="1">
        <v>45857</v>
      </c>
    </row>
    <row r="53" spans="1:19" x14ac:dyDescent="0.25">
      <c r="A53">
        <v>50</v>
      </c>
      <c r="B53" t="s">
        <v>105</v>
      </c>
      <c r="C53">
        <v>23</v>
      </c>
      <c r="D53" t="s">
        <v>199</v>
      </c>
      <c r="E53" t="s">
        <v>106</v>
      </c>
      <c r="F53">
        <v>16.25</v>
      </c>
      <c r="G53">
        <v>65</v>
      </c>
      <c r="H53" t="b">
        <v>0</v>
      </c>
      <c r="I53" s="1">
        <v>45796</v>
      </c>
      <c r="K53">
        <v>39</v>
      </c>
      <c r="L53" t="str">
        <v>Chartreuse verte</v>
      </c>
      <c r="M53">
        <v>18</v>
      </c>
      <c r="N53" t="str">
        <v>Boisson</v>
      </c>
      <c r="O53" t="str">
        <v>750 cc per bottle</v>
      </c>
      <c r="P53">
        <v>18</v>
      </c>
      <c r="Q53">
        <v>69</v>
      </c>
      <c r="R53" t="b">
        <v>0</v>
      </c>
      <c r="S53" s="1">
        <v>45860</v>
      </c>
    </row>
    <row r="54" spans="1:19" x14ac:dyDescent="0.25">
      <c r="A54">
        <v>51</v>
      </c>
      <c r="B54" t="s">
        <v>107</v>
      </c>
      <c r="C54">
        <v>24</v>
      </c>
      <c r="D54" t="s">
        <v>204</v>
      </c>
      <c r="E54" t="s">
        <v>108</v>
      </c>
      <c r="F54">
        <v>53</v>
      </c>
      <c r="G54">
        <v>20</v>
      </c>
      <c r="H54" t="b">
        <v>0</v>
      </c>
      <c r="I54" s="1">
        <v>45968</v>
      </c>
      <c r="K54">
        <v>6</v>
      </c>
      <c r="L54" t="str">
        <v>Grandma's Boysenberry Spread</v>
      </c>
      <c r="M54">
        <v>3</v>
      </c>
      <c r="N54" t="str">
        <v>Epices</v>
      </c>
      <c r="O54" t="str">
        <v>12 - 8 oz jars</v>
      </c>
      <c r="P54">
        <v>25</v>
      </c>
      <c r="Q54">
        <v>120</v>
      </c>
      <c r="R54" t="b">
        <v>0</v>
      </c>
      <c r="S54" s="1">
        <v>45869</v>
      </c>
    </row>
    <row r="55" spans="1:19" x14ac:dyDescent="0.25">
      <c r="A55">
        <v>52</v>
      </c>
      <c r="B55" t="s">
        <v>109</v>
      </c>
      <c r="C55">
        <v>24</v>
      </c>
      <c r="D55" t="s">
        <v>201</v>
      </c>
      <c r="E55" t="s">
        <v>110</v>
      </c>
      <c r="F55">
        <v>7</v>
      </c>
      <c r="G55">
        <v>38</v>
      </c>
      <c r="H55" t="b">
        <v>0</v>
      </c>
      <c r="I55" s="1">
        <v>45730</v>
      </c>
      <c r="K55">
        <v>37</v>
      </c>
      <c r="L55" t="str">
        <v>Gravad lax</v>
      </c>
      <c r="M55">
        <v>17</v>
      </c>
      <c r="N55" t="str">
        <v>Exclusif</v>
      </c>
      <c r="O55" t="str">
        <v>12 - 500 g pkgs.</v>
      </c>
      <c r="P55">
        <v>26</v>
      </c>
      <c r="Q55">
        <v>11</v>
      </c>
      <c r="R55" t="b">
        <v>0</v>
      </c>
      <c r="S55" s="1">
        <v>45870</v>
      </c>
    </row>
    <row r="56" spans="1:19" x14ac:dyDescent="0.25">
      <c r="A56">
        <v>53</v>
      </c>
      <c r="B56" t="s">
        <v>111</v>
      </c>
      <c r="C56">
        <v>24</v>
      </c>
      <c r="D56" t="s">
        <v>202</v>
      </c>
      <c r="E56" t="s">
        <v>112</v>
      </c>
      <c r="F56">
        <v>32.799999999999997</v>
      </c>
      <c r="G56">
        <v>0</v>
      </c>
      <c r="H56" t="b">
        <v>1</v>
      </c>
      <c r="I56" s="1">
        <v>45924</v>
      </c>
      <c r="K56">
        <v>77</v>
      </c>
      <c r="L56" t="str">
        <v>Original Frankfurter grüne Soße</v>
      </c>
      <c r="M56">
        <v>12</v>
      </c>
      <c r="N56" t="str">
        <v>Epices</v>
      </c>
      <c r="O56" t="str">
        <v>12 boxes</v>
      </c>
      <c r="P56">
        <v>13</v>
      </c>
      <c r="Q56">
        <v>32</v>
      </c>
      <c r="R56" t="b">
        <v>0</v>
      </c>
      <c r="S56" s="1">
        <v>45883</v>
      </c>
    </row>
    <row r="57" spans="1:19" x14ac:dyDescent="0.25">
      <c r="A57">
        <v>54</v>
      </c>
      <c r="B57" t="s">
        <v>113</v>
      </c>
      <c r="C57">
        <v>25</v>
      </c>
      <c r="D57" t="s">
        <v>202</v>
      </c>
      <c r="E57" t="s">
        <v>114</v>
      </c>
      <c r="F57">
        <v>7.45</v>
      </c>
      <c r="G57">
        <v>21</v>
      </c>
      <c r="H57" t="b">
        <v>0</v>
      </c>
      <c r="I57" s="1">
        <v>45987</v>
      </c>
      <c r="K57">
        <v>17</v>
      </c>
      <c r="L57" t="str">
        <v>Alice Mutton</v>
      </c>
      <c r="M57">
        <v>7</v>
      </c>
      <c r="N57" t="str">
        <v>Charcuterie</v>
      </c>
      <c r="O57" t="str">
        <v>20 - 1 kg tins</v>
      </c>
      <c r="P57">
        <v>39</v>
      </c>
      <c r="Q57">
        <v>0</v>
      </c>
      <c r="R57" t="b">
        <v>1</v>
      </c>
      <c r="S57" s="1">
        <v>45884</v>
      </c>
    </row>
    <row r="58" spans="1:19" x14ac:dyDescent="0.25">
      <c r="A58">
        <v>55</v>
      </c>
      <c r="B58" t="s">
        <v>115</v>
      </c>
      <c r="C58">
        <v>25</v>
      </c>
      <c r="D58" t="s">
        <v>202</v>
      </c>
      <c r="E58" t="s">
        <v>116</v>
      </c>
      <c r="F58">
        <v>24</v>
      </c>
      <c r="G58">
        <v>115</v>
      </c>
      <c r="H58" t="b">
        <v>0</v>
      </c>
      <c r="I58" s="1">
        <v>45764</v>
      </c>
      <c r="K58">
        <v>12</v>
      </c>
      <c r="L58" t="str">
        <v>Queso Manchego La Pastora</v>
      </c>
      <c r="M58">
        <v>5</v>
      </c>
      <c r="N58" t="str">
        <v>Fromage</v>
      </c>
      <c r="O58" t="str">
        <v>10 - 500 g pkgs.</v>
      </c>
      <c r="P58">
        <v>38</v>
      </c>
      <c r="Q58">
        <v>86</v>
      </c>
      <c r="R58" t="b">
        <v>0</v>
      </c>
      <c r="S58" s="1">
        <v>45894</v>
      </c>
    </row>
    <row r="59" spans="1:19" x14ac:dyDescent="0.25">
      <c r="A59">
        <v>56</v>
      </c>
      <c r="B59" t="s">
        <v>117</v>
      </c>
      <c r="C59">
        <v>26</v>
      </c>
      <c r="D59" t="s">
        <v>201</v>
      </c>
      <c r="E59" t="s">
        <v>118</v>
      </c>
      <c r="F59">
        <v>38</v>
      </c>
      <c r="G59">
        <v>21</v>
      </c>
      <c r="H59" t="b">
        <v>0</v>
      </c>
      <c r="I59" s="1">
        <v>45899</v>
      </c>
      <c r="K59">
        <v>75</v>
      </c>
      <c r="L59" t="str">
        <v>Rhönbräu Klosterbier</v>
      </c>
      <c r="M59">
        <v>12</v>
      </c>
      <c r="N59" t="str">
        <v>Boisson</v>
      </c>
      <c r="O59" t="str">
        <v>24 - 0.5 l bottles</v>
      </c>
      <c r="P59">
        <v>7.75</v>
      </c>
      <c r="Q59">
        <v>125</v>
      </c>
      <c r="R59" t="b">
        <v>0</v>
      </c>
      <c r="S59" s="1">
        <v>45896</v>
      </c>
    </row>
    <row r="60" spans="1:19" x14ac:dyDescent="0.25">
      <c r="A60">
        <v>57</v>
      </c>
      <c r="B60" t="s">
        <v>119</v>
      </c>
      <c r="C60">
        <v>26</v>
      </c>
      <c r="D60" t="s">
        <v>201</v>
      </c>
      <c r="E60" t="s">
        <v>118</v>
      </c>
      <c r="F60">
        <v>19.5</v>
      </c>
      <c r="G60">
        <v>36</v>
      </c>
      <c r="H60" t="b">
        <v>0</v>
      </c>
      <c r="I60" s="1">
        <v>45947</v>
      </c>
      <c r="K60">
        <v>56</v>
      </c>
      <c r="L60" t="str">
        <v>Gnocchi di nonna Alice</v>
      </c>
      <c r="M60">
        <v>26</v>
      </c>
      <c r="N60" t="str">
        <v>Pâtes</v>
      </c>
      <c r="O60" t="str">
        <v>24 - 250 g pkgs.</v>
      </c>
      <c r="P60">
        <v>38</v>
      </c>
      <c r="Q60">
        <v>21</v>
      </c>
      <c r="R60" t="b">
        <v>0</v>
      </c>
      <c r="S60" s="1">
        <v>45899</v>
      </c>
    </row>
    <row r="61" spans="1:19" x14ac:dyDescent="0.25">
      <c r="A61">
        <v>58</v>
      </c>
      <c r="B61" t="s">
        <v>120</v>
      </c>
      <c r="C61">
        <v>27</v>
      </c>
      <c r="D61" t="s">
        <v>203</v>
      </c>
      <c r="E61" t="s">
        <v>121</v>
      </c>
      <c r="F61">
        <v>13.25</v>
      </c>
      <c r="G61">
        <v>62</v>
      </c>
      <c r="H61" t="b">
        <v>0</v>
      </c>
      <c r="I61" s="1">
        <v>45793</v>
      </c>
      <c r="K61">
        <v>74</v>
      </c>
      <c r="L61" t="str">
        <v>Longlife Tofu</v>
      </c>
      <c r="M61">
        <v>4</v>
      </c>
      <c r="N61" t="str">
        <v>Divers</v>
      </c>
      <c r="O61" t="str">
        <v>5 kg pkg.</v>
      </c>
      <c r="P61">
        <v>10</v>
      </c>
      <c r="Q61">
        <v>4</v>
      </c>
      <c r="R61" t="b">
        <v>0</v>
      </c>
      <c r="S61" s="1">
        <v>45904</v>
      </c>
    </row>
    <row r="62" spans="1:19" x14ac:dyDescent="0.25">
      <c r="A62">
        <v>59</v>
      </c>
      <c r="B62" t="s">
        <v>122</v>
      </c>
      <c r="C62">
        <v>28</v>
      </c>
      <c r="D62" t="s">
        <v>200</v>
      </c>
      <c r="E62" t="s">
        <v>123</v>
      </c>
      <c r="F62">
        <v>55</v>
      </c>
      <c r="G62">
        <v>79</v>
      </c>
      <c r="H62" t="b">
        <v>0</v>
      </c>
      <c r="I62" s="1">
        <v>45975</v>
      </c>
      <c r="K62">
        <v>15</v>
      </c>
      <c r="L62" t="str">
        <v>Genen Shouyu</v>
      </c>
      <c r="M62">
        <v>6</v>
      </c>
      <c r="N62" t="str">
        <v>Epices</v>
      </c>
      <c r="O62" t="str">
        <v>24 - 250 ml bottles</v>
      </c>
      <c r="P62">
        <v>15.5</v>
      </c>
      <c r="Q62">
        <v>39</v>
      </c>
      <c r="R62" t="b">
        <v>0</v>
      </c>
      <c r="S62" s="1">
        <v>45910</v>
      </c>
    </row>
    <row r="63" spans="1:19" x14ac:dyDescent="0.25">
      <c r="A63">
        <v>60</v>
      </c>
      <c r="B63" t="s">
        <v>124</v>
      </c>
      <c r="C63">
        <v>28</v>
      </c>
      <c r="D63" t="s">
        <v>200</v>
      </c>
      <c r="E63" t="s">
        <v>125</v>
      </c>
      <c r="F63">
        <v>34</v>
      </c>
      <c r="G63">
        <v>19</v>
      </c>
      <c r="H63" t="b">
        <v>0</v>
      </c>
      <c r="I63" s="1">
        <v>45771</v>
      </c>
      <c r="K63">
        <v>26</v>
      </c>
      <c r="L63" t="str">
        <v>Gumbär Gummibärchen</v>
      </c>
      <c r="M63">
        <v>11</v>
      </c>
      <c r="N63" t="str">
        <v>Dessert</v>
      </c>
      <c r="O63" t="str">
        <v>100 - 250 g bags</v>
      </c>
      <c r="P63">
        <v>31.23</v>
      </c>
      <c r="Q63">
        <v>15</v>
      </c>
      <c r="R63" t="b">
        <v>0</v>
      </c>
      <c r="S63" s="1">
        <v>45911</v>
      </c>
    </row>
    <row r="64" spans="1:19" x14ac:dyDescent="0.25">
      <c r="A64">
        <v>61</v>
      </c>
      <c r="B64" t="s">
        <v>126</v>
      </c>
      <c r="C64">
        <v>29</v>
      </c>
      <c r="D64" t="s">
        <v>198</v>
      </c>
      <c r="E64" t="s">
        <v>127</v>
      </c>
      <c r="F64">
        <v>28.5</v>
      </c>
      <c r="G64">
        <v>113</v>
      </c>
      <c r="H64" t="b">
        <v>0</v>
      </c>
      <c r="I64" s="1">
        <v>45967</v>
      </c>
      <c r="K64">
        <v>20</v>
      </c>
      <c r="L64" t="str">
        <v>Sir Rodney's Marmalade</v>
      </c>
      <c r="M64">
        <v>8</v>
      </c>
      <c r="N64" t="str">
        <v>Dessert</v>
      </c>
      <c r="O64" t="str">
        <v>30 gift boxes</v>
      </c>
      <c r="P64">
        <v>81</v>
      </c>
      <c r="Q64">
        <v>40</v>
      </c>
      <c r="R64" t="b">
        <v>0</v>
      </c>
      <c r="S64" s="1">
        <v>45914</v>
      </c>
    </row>
    <row r="65" spans="1:19" x14ac:dyDescent="0.25">
      <c r="A65">
        <v>62</v>
      </c>
      <c r="B65" t="s">
        <v>128</v>
      </c>
      <c r="C65">
        <v>29</v>
      </c>
      <c r="D65" t="s">
        <v>199</v>
      </c>
      <c r="E65" t="s">
        <v>129</v>
      </c>
      <c r="F65">
        <v>49.3</v>
      </c>
      <c r="G65">
        <v>17</v>
      </c>
      <c r="H65" t="b">
        <v>0</v>
      </c>
      <c r="I65" s="1">
        <v>45846</v>
      </c>
      <c r="K65">
        <v>53</v>
      </c>
      <c r="L65" t="str">
        <v>Perth Pasties</v>
      </c>
      <c r="M65">
        <v>24</v>
      </c>
      <c r="N65" t="str">
        <v>Charcuterie</v>
      </c>
      <c r="O65" t="str">
        <v>48 pieces</v>
      </c>
      <c r="P65">
        <v>32.799999999999997</v>
      </c>
      <c r="Q65">
        <v>0</v>
      </c>
      <c r="R65" t="b">
        <v>1</v>
      </c>
      <c r="S65" s="1">
        <v>45924</v>
      </c>
    </row>
    <row r="66" spans="1:19" x14ac:dyDescent="0.25">
      <c r="A66">
        <v>63</v>
      </c>
      <c r="B66" t="s">
        <v>130</v>
      </c>
      <c r="C66">
        <v>7</v>
      </c>
      <c r="D66" t="s">
        <v>198</v>
      </c>
      <c r="E66" t="s">
        <v>131</v>
      </c>
      <c r="F66">
        <v>43.9</v>
      </c>
      <c r="G66">
        <v>24</v>
      </c>
      <c r="H66" t="b">
        <v>0</v>
      </c>
      <c r="I66" s="1">
        <v>45824</v>
      </c>
      <c r="K66">
        <v>13</v>
      </c>
      <c r="L66" t="str">
        <v>Konbu</v>
      </c>
      <c r="M66">
        <v>6</v>
      </c>
      <c r="N66" t="str">
        <v>Exclusif</v>
      </c>
      <c r="O66" t="str">
        <v>2 kg box</v>
      </c>
      <c r="P66">
        <v>6</v>
      </c>
      <c r="Q66">
        <v>24</v>
      </c>
      <c r="R66" t="b">
        <v>0</v>
      </c>
      <c r="S66" s="1">
        <v>45936</v>
      </c>
    </row>
    <row r="67" spans="1:19" x14ac:dyDescent="0.25">
      <c r="A67">
        <v>64</v>
      </c>
      <c r="B67" t="s">
        <v>132</v>
      </c>
      <c r="C67">
        <v>12</v>
      </c>
      <c r="D67" t="s">
        <v>201</v>
      </c>
      <c r="E67" t="s">
        <v>133</v>
      </c>
      <c r="F67">
        <v>33.25</v>
      </c>
      <c r="G67">
        <v>22</v>
      </c>
      <c r="H67" t="b">
        <v>0</v>
      </c>
      <c r="I67" s="1">
        <v>45944</v>
      </c>
      <c r="K67">
        <v>29</v>
      </c>
      <c r="L67" t="str">
        <v>Thüringer Rostbratwurst</v>
      </c>
      <c r="M67">
        <v>12</v>
      </c>
      <c r="N67" t="str">
        <v>Charcuterie</v>
      </c>
      <c r="O67" t="str">
        <v>50 bags x 30 sausgs.</v>
      </c>
      <c r="P67">
        <v>123.79</v>
      </c>
      <c r="Q67">
        <v>0</v>
      </c>
      <c r="R67" t="b">
        <v>1</v>
      </c>
      <c r="S67" s="1">
        <v>45943</v>
      </c>
    </row>
    <row r="68" spans="1:19" x14ac:dyDescent="0.25">
      <c r="A68">
        <v>65</v>
      </c>
      <c r="B68" t="s">
        <v>134</v>
      </c>
      <c r="C68">
        <v>2</v>
      </c>
      <c r="D68" t="s">
        <v>198</v>
      </c>
      <c r="E68" t="s">
        <v>135</v>
      </c>
      <c r="F68">
        <v>21.05</v>
      </c>
      <c r="G68">
        <v>76</v>
      </c>
      <c r="H68" t="b">
        <v>0</v>
      </c>
      <c r="I68" s="1">
        <v>45715</v>
      </c>
      <c r="K68">
        <v>64</v>
      </c>
      <c r="L68" t="str">
        <v>Wimmers gute Semmelknödel</v>
      </c>
      <c r="M68">
        <v>12</v>
      </c>
      <c r="N68" t="str">
        <v>Pâtes</v>
      </c>
      <c r="O68" t="str">
        <v>20 bags x 4 pieces</v>
      </c>
      <c r="P68">
        <v>33.25</v>
      </c>
      <c r="Q68">
        <v>22</v>
      </c>
      <c r="R68" t="b">
        <v>0</v>
      </c>
      <c r="S68" s="1">
        <v>45944</v>
      </c>
    </row>
    <row r="69" spans="1:19" x14ac:dyDescent="0.25">
      <c r="A69">
        <v>66</v>
      </c>
      <c r="B69" t="s">
        <v>136</v>
      </c>
      <c r="C69">
        <v>2</v>
      </c>
      <c r="D69" t="s">
        <v>198</v>
      </c>
      <c r="E69" t="s">
        <v>137</v>
      </c>
      <c r="F69">
        <v>17</v>
      </c>
      <c r="G69">
        <v>4</v>
      </c>
      <c r="H69" t="b">
        <v>0</v>
      </c>
      <c r="I69" s="1">
        <v>46008</v>
      </c>
      <c r="K69">
        <v>57</v>
      </c>
      <c r="L69" t="str">
        <v>Ravioli Angelo</v>
      </c>
      <c r="M69">
        <v>26</v>
      </c>
      <c r="N69" t="str">
        <v>Pâtes</v>
      </c>
      <c r="O69" t="str">
        <v>24 - 250 g pkgs.</v>
      </c>
      <c r="P69">
        <v>19.5</v>
      </c>
      <c r="Q69">
        <v>36</v>
      </c>
      <c r="R69" t="b">
        <v>0</v>
      </c>
      <c r="S69" s="1">
        <v>45947</v>
      </c>
    </row>
    <row r="70" spans="1:19" x14ac:dyDescent="0.25">
      <c r="A70">
        <v>67</v>
      </c>
      <c r="B70" t="s">
        <v>138</v>
      </c>
      <c r="C70">
        <v>16</v>
      </c>
      <c r="D70" t="s">
        <v>197</v>
      </c>
      <c r="E70" t="s">
        <v>12</v>
      </c>
      <c r="F70">
        <v>14</v>
      </c>
      <c r="G70">
        <v>52</v>
      </c>
      <c r="H70" t="b">
        <v>0</v>
      </c>
      <c r="I70" s="1">
        <v>45715</v>
      </c>
      <c r="K70">
        <v>0</v>
      </c>
      <c r="L70" t="str">
        <v>Chai</v>
      </c>
      <c r="M70">
        <v>1</v>
      </c>
      <c r="N70" t="str">
        <v>Boisson</v>
      </c>
      <c r="O70" t="str">
        <v>10 boxes x 20 bags</v>
      </c>
      <c r="P70">
        <v>18</v>
      </c>
      <c r="Q70">
        <v>39</v>
      </c>
      <c r="R70" t="b">
        <v>0</v>
      </c>
      <c r="S70" s="1">
        <v>45953</v>
      </c>
    </row>
    <row r="71" spans="1:19" x14ac:dyDescent="0.25">
      <c r="A71">
        <v>68</v>
      </c>
      <c r="B71" t="s">
        <v>139</v>
      </c>
      <c r="C71">
        <v>8</v>
      </c>
      <c r="D71" t="s">
        <v>199</v>
      </c>
      <c r="E71" t="s">
        <v>140</v>
      </c>
      <c r="F71">
        <v>12.5</v>
      </c>
      <c r="G71">
        <v>6</v>
      </c>
      <c r="H71" t="b">
        <v>0</v>
      </c>
      <c r="I71" s="1">
        <v>45695</v>
      </c>
      <c r="K71">
        <v>46</v>
      </c>
      <c r="L71" t="str">
        <v>Spegesild</v>
      </c>
      <c r="M71">
        <v>21</v>
      </c>
      <c r="N71" t="str">
        <v>Exclusif</v>
      </c>
      <c r="O71" t="str">
        <v>4 - 450 g glasses</v>
      </c>
      <c r="P71">
        <v>12</v>
      </c>
      <c r="Q71">
        <v>95</v>
      </c>
      <c r="R71" t="b">
        <v>0</v>
      </c>
      <c r="S71" s="1">
        <v>45955</v>
      </c>
    </row>
    <row r="72" spans="1:19" x14ac:dyDescent="0.25">
      <c r="A72">
        <v>69</v>
      </c>
      <c r="B72" t="s">
        <v>141</v>
      </c>
      <c r="C72">
        <v>15</v>
      </c>
      <c r="D72" t="s">
        <v>200</v>
      </c>
      <c r="E72" t="s">
        <v>142</v>
      </c>
      <c r="F72">
        <v>36</v>
      </c>
      <c r="G72">
        <v>26</v>
      </c>
      <c r="H72" t="b">
        <v>0</v>
      </c>
      <c r="I72" s="1">
        <v>45827</v>
      </c>
      <c r="K72">
        <v>61</v>
      </c>
      <c r="L72" t="str">
        <v>Sirop d'érable</v>
      </c>
      <c r="M72">
        <v>29</v>
      </c>
      <c r="N72" t="str">
        <v>Epices</v>
      </c>
      <c r="O72" t="str">
        <v>24 - 500 ml bottles</v>
      </c>
      <c r="P72">
        <v>28.5</v>
      </c>
      <c r="Q72">
        <v>113</v>
      </c>
      <c r="R72" t="b">
        <v>0</v>
      </c>
      <c r="S72" s="1">
        <v>45967</v>
      </c>
    </row>
    <row r="73" spans="1:19" x14ac:dyDescent="0.25">
      <c r="A73">
        <v>70</v>
      </c>
      <c r="B73" t="s">
        <v>143</v>
      </c>
      <c r="C73">
        <v>7</v>
      </c>
      <c r="D73" t="s">
        <v>197</v>
      </c>
      <c r="E73" t="s">
        <v>144</v>
      </c>
      <c r="F73">
        <v>15</v>
      </c>
      <c r="G73">
        <v>15</v>
      </c>
      <c r="H73" t="b">
        <v>0</v>
      </c>
      <c r="I73" s="1">
        <v>45827</v>
      </c>
      <c r="K73">
        <v>51</v>
      </c>
      <c r="L73" t="str">
        <v>Manjimup Dried Apples</v>
      </c>
      <c r="M73">
        <v>24</v>
      </c>
      <c r="N73" t="str">
        <v>Divers</v>
      </c>
      <c r="O73" t="str">
        <v>50 - 300 g pkgs.</v>
      </c>
      <c r="P73">
        <v>53</v>
      </c>
      <c r="Q73">
        <v>20</v>
      </c>
      <c r="R73" t="b">
        <v>0</v>
      </c>
      <c r="S73" s="1">
        <v>45968</v>
      </c>
    </row>
    <row r="74" spans="1:19" x14ac:dyDescent="0.25">
      <c r="A74">
        <v>71</v>
      </c>
      <c r="B74" t="s">
        <v>145</v>
      </c>
      <c r="C74">
        <v>15</v>
      </c>
      <c r="D74" t="s">
        <v>200</v>
      </c>
      <c r="E74" t="s">
        <v>32</v>
      </c>
      <c r="F74">
        <v>21.5</v>
      </c>
      <c r="G74">
        <v>26</v>
      </c>
      <c r="H74" t="b">
        <v>0</v>
      </c>
      <c r="I74" s="1">
        <v>46004</v>
      </c>
      <c r="K74">
        <v>35</v>
      </c>
      <c r="L74" t="str">
        <v>Steeleye Stout</v>
      </c>
      <c r="M74">
        <v>16</v>
      </c>
      <c r="N74" t="str">
        <v>Boisson</v>
      </c>
      <c r="O74" t="str">
        <v>24 - 12 oz bottles</v>
      </c>
      <c r="P74">
        <v>18</v>
      </c>
      <c r="Q74">
        <v>20</v>
      </c>
      <c r="R74" t="b">
        <v>0</v>
      </c>
      <c r="S74" s="1">
        <v>45973</v>
      </c>
    </row>
    <row r="75" spans="1:19" x14ac:dyDescent="0.25">
      <c r="A75">
        <v>72</v>
      </c>
      <c r="B75" t="s">
        <v>146</v>
      </c>
      <c r="C75">
        <v>14</v>
      </c>
      <c r="D75" t="s">
        <v>200</v>
      </c>
      <c r="E75" t="s">
        <v>72</v>
      </c>
      <c r="F75">
        <v>34.799999999999997</v>
      </c>
      <c r="G75">
        <v>14</v>
      </c>
      <c r="H75" t="b">
        <v>0</v>
      </c>
      <c r="I75" s="1">
        <v>45717</v>
      </c>
      <c r="K75">
        <v>42</v>
      </c>
      <c r="L75" t="str">
        <v>Singaporean Hokkien Fried Mee</v>
      </c>
      <c r="M75">
        <v>20</v>
      </c>
      <c r="N75" t="str">
        <v>Pâtes</v>
      </c>
      <c r="O75" t="str">
        <v>32 - 1 kg pkgs.</v>
      </c>
      <c r="P75">
        <v>14</v>
      </c>
      <c r="Q75">
        <v>26</v>
      </c>
      <c r="R75" t="b">
        <v>1</v>
      </c>
      <c r="S75" s="1">
        <v>45974</v>
      </c>
    </row>
    <row r="76" spans="1:19" x14ac:dyDescent="0.25">
      <c r="A76">
        <v>73</v>
      </c>
      <c r="B76" t="s">
        <v>147</v>
      </c>
      <c r="C76">
        <v>17</v>
      </c>
      <c r="D76" t="s">
        <v>203</v>
      </c>
      <c r="E76" t="s">
        <v>148</v>
      </c>
      <c r="F76">
        <v>15</v>
      </c>
      <c r="G76">
        <v>101</v>
      </c>
      <c r="H76" t="b">
        <v>0</v>
      </c>
      <c r="I76" s="1">
        <v>45683</v>
      </c>
      <c r="K76">
        <v>59</v>
      </c>
      <c r="L76" t="str">
        <v>Raclette Courdavault</v>
      </c>
      <c r="M76">
        <v>28</v>
      </c>
      <c r="N76" t="str">
        <v>Fromage</v>
      </c>
      <c r="O76" t="str">
        <v>5 kg pkg.</v>
      </c>
      <c r="P76">
        <v>55</v>
      </c>
      <c r="Q76">
        <v>79</v>
      </c>
      <c r="R76" t="b">
        <v>0</v>
      </c>
      <c r="S76" s="1">
        <v>45975</v>
      </c>
    </row>
    <row r="77" spans="1:19" x14ac:dyDescent="0.25">
      <c r="A77">
        <v>74</v>
      </c>
      <c r="B77" t="s">
        <v>149</v>
      </c>
      <c r="C77">
        <v>4</v>
      </c>
      <c r="D77" t="s">
        <v>204</v>
      </c>
      <c r="E77" t="s">
        <v>123</v>
      </c>
      <c r="F77">
        <v>10</v>
      </c>
      <c r="G77">
        <v>4</v>
      </c>
      <c r="H77" t="b">
        <v>0</v>
      </c>
      <c r="I77" s="1">
        <v>45904</v>
      </c>
      <c r="K77">
        <v>11</v>
      </c>
      <c r="L77" t="str">
        <v>Queso Cabrales</v>
      </c>
      <c r="M77">
        <v>5</v>
      </c>
      <c r="N77" t="str">
        <v>Fromage</v>
      </c>
      <c r="O77" t="str">
        <v>1 kg pkg.</v>
      </c>
      <c r="P77">
        <v>21</v>
      </c>
      <c r="Q77">
        <v>22</v>
      </c>
      <c r="R77" t="b">
        <v>0</v>
      </c>
      <c r="S77" s="1">
        <v>45976</v>
      </c>
    </row>
    <row r="78" spans="1:19" x14ac:dyDescent="0.25">
      <c r="A78">
        <v>75</v>
      </c>
      <c r="B78" t="s">
        <v>150</v>
      </c>
      <c r="C78">
        <v>12</v>
      </c>
      <c r="D78" t="s">
        <v>197</v>
      </c>
      <c r="E78" t="s">
        <v>151</v>
      </c>
      <c r="F78">
        <v>7.75</v>
      </c>
      <c r="G78">
        <v>125</v>
      </c>
      <c r="H78" t="b">
        <v>0</v>
      </c>
      <c r="I78" s="1">
        <v>45896</v>
      </c>
      <c r="K78">
        <v>47</v>
      </c>
      <c r="L78" t="str">
        <v>Zaanse koeken</v>
      </c>
      <c r="M78">
        <v>22</v>
      </c>
      <c r="N78" t="str">
        <v>Dessert</v>
      </c>
      <c r="O78" t="str">
        <v>10 - 4 oz boxes</v>
      </c>
      <c r="P78">
        <v>9.5</v>
      </c>
      <c r="Q78">
        <v>36</v>
      </c>
      <c r="R78" t="b">
        <v>0</v>
      </c>
      <c r="S78" s="1">
        <v>45985</v>
      </c>
    </row>
    <row r="79" spans="1:19" x14ac:dyDescent="0.25">
      <c r="A79">
        <v>76</v>
      </c>
      <c r="B79" t="s">
        <v>152</v>
      </c>
      <c r="C79">
        <v>23</v>
      </c>
      <c r="D79" t="s">
        <v>197</v>
      </c>
      <c r="E79" t="s">
        <v>153</v>
      </c>
      <c r="F79">
        <v>18</v>
      </c>
      <c r="G79">
        <v>57</v>
      </c>
      <c r="H79" t="b">
        <v>0</v>
      </c>
      <c r="I79" s="1">
        <v>45704</v>
      </c>
      <c r="K79">
        <v>54</v>
      </c>
      <c r="L79" t="str">
        <v>Tourtière</v>
      </c>
      <c r="M79">
        <v>25</v>
      </c>
      <c r="N79" t="str">
        <v>Charcuterie</v>
      </c>
      <c r="O79" t="str">
        <v>16 pies</v>
      </c>
      <c r="P79">
        <v>7.45</v>
      </c>
      <c r="Q79">
        <v>21</v>
      </c>
      <c r="R79" t="b">
        <v>0</v>
      </c>
      <c r="S79" s="1">
        <v>45987</v>
      </c>
    </row>
    <row r="80" spans="1:19" x14ac:dyDescent="0.25">
      <c r="A80">
        <v>77</v>
      </c>
      <c r="B80" t="s">
        <v>154</v>
      </c>
      <c r="C80">
        <v>12</v>
      </c>
      <c r="D80" t="s">
        <v>198</v>
      </c>
      <c r="E80" t="s">
        <v>155</v>
      </c>
      <c r="F80">
        <v>13</v>
      </c>
      <c r="G80">
        <v>32</v>
      </c>
      <c r="H80" t="b">
        <v>0</v>
      </c>
      <c r="I80" s="1">
        <v>45883</v>
      </c>
      <c r="K80">
        <v>36</v>
      </c>
      <c r="L80" t="str">
        <v>Inlagd Sill</v>
      </c>
      <c r="M80">
        <v>17</v>
      </c>
      <c r="N80" t="str">
        <v>Exclusif</v>
      </c>
      <c r="O80" t="str">
        <v>24 - 250 g  jars</v>
      </c>
      <c r="P80">
        <v>19</v>
      </c>
      <c r="Q80">
        <v>112</v>
      </c>
      <c r="R80" t="b">
        <v>0</v>
      </c>
      <c r="S80" s="1">
        <v>45990</v>
      </c>
    </row>
    <row r="81" spans="11:19" x14ac:dyDescent="0.25">
      <c r="K81">
        <v>14</v>
      </c>
      <c r="L81" t="str">
        <v>Tofu</v>
      </c>
      <c r="M81">
        <v>6</v>
      </c>
      <c r="N81" t="str">
        <v>Divers</v>
      </c>
      <c r="O81" t="str">
        <v>40 - 100 g pkgs.</v>
      </c>
      <c r="P81">
        <v>23.25</v>
      </c>
      <c r="Q81">
        <v>35</v>
      </c>
      <c r="R81" t="b">
        <v>0</v>
      </c>
      <c r="S81" s="1">
        <v>45994</v>
      </c>
    </row>
    <row r="82" spans="11:19" x14ac:dyDescent="0.25">
      <c r="K82">
        <v>7</v>
      </c>
      <c r="L82" t="str">
        <v>Uncle Bob's Organic Dried Pears</v>
      </c>
      <c r="M82">
        <v>3</v>
      </c>
      <c r="N82" t="str">
        <v>Divers</v>
      </c>
      <c r="O82" t="str">
        <v>12 - 1 lb pkgs.</v>
      </c>
      <c r="P82">
        <v>30</v>
      </c>
      <c r="Q82">
        <v>15</v>
      </c>
      <c r="R82" t="b">
        <v>0</v>
      </c>
      <c r="S82" s="1">
        <v>45995</v>
      </c>
    </row>
    <row r="83" spans="11:19" x14ac:dyDescent="0.25">
      <c r="K83">
        <v>5</v>
      </c>
      <c r="L83" t="str">
        <v>Chef Anton's Gumbo Mix</v>
      </c>
      <c r="M83">
        <v>2</v>
      </c>
      <c r="N83" t="str">
        <v>Epices</v>
      </c>
      <c r="O83" t="str">
        <v>36 boxes</v>
      </c>
      <c r="P83">
        <v>21.35</v>
      </c>
      <c r="Q83">
        <v>0</v>
      </c>
      <c r="R83" t="b">
        <v>1</v>
      </c>
      <c r="S83" s="1">
        <v>46002</v>
      </c>
    </row>
    <row r="84" spans="11:19" x14ac:dyDescent="0.25">
      <c r="K84">
        <v>71</v>
      </c>
      <c r="L84" t="str">
        <v>Flotemysost</v>
      </c>
      <c r="M84">
        <v>15</v>
      </c>
      <c r="N84" t="str">
        <v>Fromage</v>
      </c>
      <c r="O84" t="str">
        <v>10 - 500 g pkgs.</v>
      </c>
      <c r="P84">
        <v>21.5</v>
      </c>
      <c r="Q84">
        <v>26</v>
      </c>
      <c r="R84" t="b">
        <v>0</v>
      </c>
      <c r="S84" s="1">
        <v>46004</v>
      </c>
    </row>
    <row r="85" spans="11:19" x14ac:dyDescent="0.25">
      <c r="K85">
        <v>2</v>
      </c>
      <c r="L85" t="str">
        <v>Chang</v>
      </c>
      <c r="M85">
        <v>1</v>
      </c>
      <c r="N85" t="str">
        <v>Boisson</v>
      </c>
      <c r="O85" t="str">
        <v>24 - 12 oz bottles</v>
      </c>
      <c r="P85">
        <v>19</v>
      </c>
      <c r="Q85">
        <v>17</v>
      </c>
      <c r="R85" t="b">
        <v>0</v>
      </c>
      <c r="S85" s="1">
        <v>46007</v>
      </c>
    </row>
    <row r="86" spans="11:19" x14ac:dyDescent="0.25">
      <c r="K86">
        <v>66</v>
      </c>
      <c r="L86" t="str">
        <v>Louisiana Hot Spiced Okra</v>
      </c>
      <c r="M86">
        <v>2</v>
      </c>
      <c r="N86" t="str">
        <v>Epices</v>
      </c>
      <c r="O86" t="str">
        <v>24 - 8 oz jars</v>
      </c>
      <c r="P86">
        <v>17</v>
      </c>
      <c r="Q86">
        <v>4</v>
      </c>
      <c r="R86" t="b">
        <v>0</v>
      </c>
      <c r="S86" s="1">
        <v>46008</v>
      </c>
    </row>
    <row r="87" spans="11:19" x14ac:dyDescent="0.25">
      <c r="K87">
        <v>44</v>
      </c>
      <c r="L87" t="str">
        <v>Gula Malacca</v>
      </c>
      <c r="M87">
        <v>20</v>
      </c>
      <c r="N87" t="str">
        <v>Epices</v>
      </c>
      <c r="O87" t="str">
        <v>20 - 2 kg bags</v>
      </c>
      <c r="P87">
        <v>19.45</v>
      </c>
      <c r="Q87">
        <v>27</v>
      </c>
      <c r="R87" t="b">
        <v>0</v>
      </c>
      <c r="S87" s="1">
        <v>46010</v>
      </c>
    </row>
    <row r="88" spans="11:19" x14ac:dyDescent="0.25">
      <c r="K88">
        <v>23</v>
      </c>
      <c r="L88" t="str">
        <v>Tunnbröd</v>
      </c>
      <c r="M88">
        <v>9</v>
      </c>
      <c r="N88" t="str">
        <v>Pâtes</v>
      </c>
      <c r="O88" t="str">
        <v>12 - 250 g pkgs.</v>
      </c>
      <c r="P88">
        <v>9</v>
      </c>
      <c r="Q88">
        <v>61</v>
      </c>
      <c r="R88" t="b">
        <v>0</v>
      </c>
      <c r="S88" s="1">
        <v>46011</v>
      </c>
    </row>
    <row r="89" spans="11:19" x14ac:dyDescent="0.25">
      <c r="K89">
        <v>32</v>
      </c>
      <c r="L89" t="str">
        <v>Mascarpone Fabioli</v>
      </c>
      <c r="M89">
        <v>14</v>
      </c>
      <c r="N89" t="str">
        <v>Fromage</v>
      </c>
      <c r="O89" t="str">
        <v>24 - 200 g pkgs.</v>
      </c>
      <c r="P89">
        <v>32</v>
      </c>
      <c r="Q89">
        <v>9</v>
      </c>
      <c r="R89" t="b">
        <v>0</v>
      </c>
      <c r="S89" s="1">
        <v>46011</v>
      </c>
    </row>
    <row r="90" spans="11:19" x14ac:dyDescent="0.25">
      <c r="K90">
        <v>24</v>
      </c>
      <c r="L90" t="str">
        <v>Guaraná Fantástica</v>
      </c>
      <c r="M90">
        <v>10</v>
      </c>
      <c r="N90" t="str">
        <v>Boisson</v>
      </c>
      <c r="O90" t="str">
        <v>12 - 355 ml cans</v>
      </c>
      <c r="P90">
        <v>4.5</v>
      </c>
      <c r="Q90">
        <v>20</v>
      </c>
      <c r="R90" t="b">
        <v>1</v>
      </c>
      <c r="S90" s="1">
        <v>46018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8DD8-A9FC-458C-A593-20122B086AF6}">
  <dimension ref="A2:B2"/>
  <sheetViews>
    <sheetView workbookViewId="0">
      <selection activeCell="B2" sqref="B2"/>
    </sheetView>
  </sheetViews>
  <sheetFormatPr baseColWidth="10" defaultColWidth="8.85546875" defaultRowHeight="15" x14ac:dyDescent="0.25"/>
  <sheetData>
    <row r="2" spans="1:2" x14ac:dyDescent="0.25">
      <c r="A2" t="s">
        <v>186</v>
      </c>
      <c r="B2" s="9">
        <v>8.1000000000000003E-2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c282f0aa5cb755374aae85114d899be3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8b2f903eb272705ac07f452022413e9c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B68E5-3B03-49FB-AE9B-72782922116A}">
  <ds:schemaRefs>
    <ds:schemaRef ds:uri="http://schemas.microsoft.com/office/2006/documentManagement/types"/>
    <ds:schemaRef ds:uri="037ed5ce-9e80-41f7-81a5-4f297c26d5d9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76592C5-21C2-4CC8-9BDC-0D753961DB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E8CCEF-5BD0-4815-BCA5-412CAB4D48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4</vt:i4>
      </vt:variant>
    </vt:vector>
  </HeadingPairs>
  <TitlesOfParts>
    <vt:vector size="14" baseType="lpstr">
      <vt:lpstr>Source</vt:lpstr>
      <vt:lpstr>Ex1 Plage-&gt;Tableau</vt:lpstr>
      <vt:lpstr>EX2 Formules</vt:lpstr>
      <vt:lpstr>EX3 Graphique</vt:lpstr>
      <vt:lpstr>Ex4 Segment</vt:lpstr>
      <vt:lpstr>Ex5 Liste déroulante</vt:lpstr>
      <vt:lpstr>Ex6 TCD</vt:lpstr>
      <vt:lpstr>Ex7 Filtre avancé</vt:lpstr>
      <vt:lpstr>Ex8 Fonctions filtre+tri</vt:lpstr>
      <vt:lpstr>Variables</vt:lpstr>
      <vt:lpstr>'Ex7 Filtre avancé'!Criteres</vt:lpstr>
      <vt:lpstr>'Ex7 Filtre avancé'!Extraire</vt:lpstr>
      <vt:lpstr>Liste_Cat</vt:lpstr>
      <vt:lpstr>tauxTVA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Ludovic Moreau, manager</cp:lastModifiedBy>
  <cp:revision/>
  <dcterms:created xsi:type="dcterms:W3CDTF">2026-01-07T15:38:59Z</dcterms:created>
  <dcterms:modified xsi:type="dcterms:W3CDTF">2026-01-10T18:26:25Z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</Properties>
</file>